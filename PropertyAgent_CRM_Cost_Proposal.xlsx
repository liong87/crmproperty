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weichong.liong\Downloads\"/>
    </mc:Choice>
  </mc:AlternateContent>
  <xr:revisionPtr revIDLastSave="0" documentId="13_ncr:1_{511B2AE4-BA41-48F5-AD09-D42C46B71B59}" xr6:coauthVersionLast="47" xr6:coauthVersionMax="47" xr10:uidLastSave="{00000000-0000-0000-0000-000000000000}"/>
  <bookViews>
    <workbookView xWindow="28680" yWindow="-120" windowWidth="29040" windowHeight="15720" tabRatio="500" xr2:uid="{00000000-000D-0000-FFFF-FFFF00000000}"/>
  </bookViews>
  <sheets>
    <sheet name="Executive Summary" sheetId="1" r:id="rId1"/>
    <sheet name="Cost Comparison" sheetId="2" r:id="rId2"/>
    <sheet name="What Each Option Includes" sheetId="3" r:id="rId3"/>
    <sheet name="Specification Comparison" sheetId="4" r:id="rId4"/>
    <sheet name="Capacity Check" sheetId="5" r:id="rId5"/>
    <sheet name="Data Residency Options" sheetId="6" r:id="rId6"/>
    <sheet name="Implementation Plan" sheetId="7" r:id="rId7"/>
    <sheet name="Risks &amp; Findings" sheetId="8" r:id="rId8"/>
    <sheet name="Assumptions &amp; Sources"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0" i="8" l="1"/>
  <c r="C21" i="1" s="1"/>
  <c r="C30" i="5"/>
  <c r="C31" i="5" s="1"/>
  <c r="C33" i="5" s="1"/>
  <c r="E22" i="5"/>
  <c r="E23" i="5" s="1"/>
  <c r="E21" i="5"/>
  <c r="E20" i="5"/>
  <c r="E19" i="5"/>
  <c r="E18" i="5"/>
  <c r="E17" i="5"/>
  <c r="D13" i="5"/>
  <c r="F13" i="5" s="1"/>
  <c r="F12" i="5"/>
  <c r="F11" i="5"/>
  <c r="F10" i="5"/>
  <c r="F9" i="5"/>
  <c r="F8" i="5"/>
  <c r="F31" i="4"/>
  <c r="F30" i="4"/>
  <c r="F29" i="4"/>
  <c r="E65" i="3"/>
  <c r="E48" i="3"/>
  <c r="E39" i="3"/>
  <c r="E31" i="3"/>
  <c r="E24" i="3"/>
  <c r="E8" i="3"/>
  <c r="E15" i="3" s="1"/>
  <c r="G17" i="2"/>
  <c r="G15" i="2"/>
  <c r="D27" i="6" s="1"/>
  <c r="G14" i="2"/>
  <c r="D26" i="6" s="1"/>
  <c r="C14" i="2"/>
  <c r="C15" i="2" s="1"/>
  <c r="C16" i="2" s="1"/>
  <c r="F6" i="2"/>
  <c r="F14" i="2" s="1"/>
  <c r="E6" i="2"/>
  <c r="E14" i="2" s="1"/>
  <c r="D6" i="2"/>
  <c r="D14" i="2" s="1"/>
  <c r="C17" i="1"/>
  <c r="F10" i="1"/>
  <c r="F9" i="1"/>
  <c r="E26" i="6" l="1"/>
  <c r="C57" i="2"/>
  <c r="D57" i="2" s="1"/>
  <c r="D15" i="2"/>
  <c r="C26" i="6"/>
  <c r="D17" i="2"/>
  <c r="C9" i="1"/>
  <c r="C55" i="2"/>
  <c r="D55" i="2" s="1"/>
  <c r="E15" i="2"/>
  <c r="C56" i="2"/>
  <c r="D56" i="2" s="1"/>
  <c r="E17" i="2"/>
  <c r="D9" i="1"/>
  <c r="F15" i="2"/>
  <c r="F17" i="2"/>
  <c r="E9" i="1"/>
  <c r="C17" i="2"/>
  <c r="C18" i="1"/>
  <c r="G16" i="2"/>
  <c r="C10" i="1"/>
  <c r="F16" i="2" l="1"/>
  <c r="E11" i="1" s="1"/>
  <c r="E10" i="1"/>
  <c r="D10" i="1"/>
  <c r="E16" i="2"/>
  <c r="D11" i="1" s="1"/>
  <c r="D28" i="6"/>
  <c r="C19" i="1"/>
  <c r="F11" i="1"/>
  <c r="C27" i="6"/>
  <c r="E27" i="6" s="1"/>
  <c r="C20" i="1"/>
  <c r="D16" i="2"/>
  <c r="E28" i="6" l="1"/>
  <c r="C28" i="6"/>
  <c r="C11" i="1"/>
</calcChain>
</file>

<file path=xl/sharedStrings.xml><?xml version="1.0" encoding="utf-8"?>
<sst xmlns="http://schemas.openxmlformats.org/spreadsheetml/2006/main" count="865" uniqueCount="607">
  <si>
    <t>PropertyAgent CRM - Cost Reduction &amp; Remediation Proposal</t>
  </si>
  <si>
    <t>Prepared 10 August 2026   |   All figures in Malaysian Ringgit   |   Tools and services only</t>
  </si>
  <si>
    <t>RECOMMENDATION</t>
  </si>
  <si>
    <t>Replace the two paid-service dependencies - the hosted database and the Clerk authentication service - with free equivalents we control. Both are free at our size, and the application was deliberately built so that each swap touches a single component.
RECOMMENDATION: OPTION D - a server we run ourselves, inside Malaysia.  At RM 92 a month it is cheaper than the managed alternatives, gives the largest specification of the four (2 processors, 4 GB memory, 100 GB disk), and keeps all client records - including identity-card numbers - inside Malaysia, which closes the PDPA data-residency question rather than deferring it. It is recommended on the basis that we have in-house IT capability to run it; the trade-off is that backups, security patching and uptime become our responsibility rather than a vendor's.
Fallback: Option A if we would rather a vendor carried the operational work, or Option B if minimum cost is the priority.
The finding that matters most is not about cost at all: the free hosting tier in use today is licensed for non-commercial personal use only, and the review found seven Critical or High security and data-loss faults - including one where any agent can view any client's identity-card number. Those need fixing whichever option is chosen.</t>
  </si>
  <si>
    <t>AT A GLANCE</t>
  </si>
  <si>
    <t>Measure</t>
  </si>
  <si>
    <t>Option A
Managed</t>
  </si>
  <si>
    <t>Option B
Lowest cost</t>
  </si>
  <si>
    <t>Option C
Singapore VPS</t>
  </si>
  <si>
    <t>Comment</t>
  </si>
  <si>
    <t>Cost - MYR per month</t>
  </si>
  <si>
    <t>Option B needs the deployment configuration repaired first.</t>
  </si>
  <si>
    <t>Cost - MYR per year</t>
  </si>
  <si>
    <t>Cost over three years</t>
  </si>
  <si>
    <t>Subscriptions only. No hardware, licences or contractors are being purchased.</t>
  </si>
  <si>
    <t>Who runs and maintains it</t>
  </si>
  <si>
    <t>Supabase + Vercel</t>
  </si>
  <si>
    <t>Supabase + Cloudflare</t>
  </si>
  <si>
    <t>Ourselves</t>
  </si>
  <si>
    <t>Options C and D rent a bare server only - backups, patching and uptime become ours.</t>
  </si>
  <si>
    <t>Client data stored in</t>
  </si>
  <si>
    <t>Singapore</t>
  </si>
  <si>
    <t>MALAYSIA</t>
  </si>
  <si>
    <t>See the Data Residency tab.</t>
  </si>
  <si>
    <t>WHAT WE ARE ASKING FOR</t>
  </si>
  <si>
    <t>Item</t>
  </si>
  <si>
    <t>Value</t>
  </si>
  <si>
    <t>Recurring cost to approve - per month</t>
  </si>
  <si>
    <t>Option D, the recommended option.</t>
  </si>
  <si>
    <t>Recurring cost to approve - per year</t>
  </si>
  <si>
    <t>The entire monetary request.</t>
  </si>
  <si>
    <t>Assuming the exchange rate holds.</t>
  </si>
  <si>
    <t>One-off purchases required</t>
  </si>
  <si>
    <t>None - no hardware, licences or contractors.</t>
  </si>
  <si>
    <t>Critical and High findings to close</t>
  </si>
  <si>
    <t>Independent of the hosting decision.</t>
  </si>
  <si>
    <t>POINTS FOR MANAGEMENT ATTENTION</t>
  </si>
  <si>
    <t>- The tools this system runs on cost under RM 1,300 a year. Cost is not the issue; the security findings below are.</t>
  </si>
  <si>
    <t>- The system has verified security gaps today: any agent can view any client's identity-card number, and one public endpoint is open to the internet. These are closed in the first two phases and are unrelated to cost.</t>
  </si>
  <si>
    <t>- Our current free hosting tier is not licensed for commercial use. This needs correcting whichever option is approved.</t>
  </si>
  <si>
    <t>- The 24-month PDPA data-purge routine exists in the system but nothing schedules it, so it is not currently being carried out.</t>
  </si>
  <si>
    <t>- Client identity numbers would sit in Singapore under Options A to C. Option D keeps all data in Malaysia at no extra cost, but makes backups and uptime our own responsibility. Worth confirming the requirement with a qualified adviser.</t>
  </si>
  <si>
    <t>- The four options differ by under RM 900 a year. The decision should be made on compliance, data residency and who carries responsibility for the server - not on the subscription figure.</t>
  </si>
  <si>
    <t>Legend:   blue = editable input      black = calculated      green = pulled from another tab      yellow = key assumption to confirm</t>
  </si>
  <si>
    <t>WHY OPTION D</t>
  </si>
  <si>
    <t>Reason</t>
  </si>
  <si>
    <t>Detail</t>
  </si>
  <si>
    <t>Cheaper than managed</t>
  </si>
  <si>
    <t>RM 92 a month against RM 102 for Option A, and RM 1,104 a year against RM 1,224.</t>
  </si>
  <si>
    <t>Largest specification</t>
  </si>
  <si>
    <t>2 processors, 4 GB dedicated memory and 100 GB disk. Supabase Pro at RM 119 a month gives 1 GB memory and 8 GB disk - less, for more.</t>
  </si>
  <si>
    <t>Solves data residency</t>
  </si>
  <si>
    <t>All client records including identity-card numbers stay in Malaysia. No managed provider offers a Malaysia region, so this cannot be achieved any other way.</t>
  </si>
  <si>
    <t>Lowest latency</t>
  </si>
  <si>
    <t>The server sits in Malaysia rather than Singapore - the fastest option for agents working locally.</t>
  </si>
  <si>
    <t>No capacity ceiling</t>
  </si>
  <si>
    <t>The free database plan caps at 500 MB. Our own server has no vendor limit, so the question never arises again.</t>
  </si>
  <si>
    <t>We have the capability</t>
  </si>
  <si>
    <t>Managing the server in-house is realistic for us. This is the assumption the recommendation rests on - if it changes, Option A becomes the answer.</t>
  </si>
  <si>
    <t>CONDITION OF APPROVAL:  Option D is recommended on the condition that automated database backups are set up AND a restore is tested before the system carries live client data. Running our own server means no vendor does this for us. It is roughly half a day of work and it is not optional.</t>
  </si>
  <si>
    <t>Running Cost - Tools &amp; Services Only (MYR)</t>
  </si>
  <si>
    <t>Hosting, database, storage and subscriptions. Internal development effort is not included.</t>
  </si>
  <si>
    <t>Component</t>
  </si>
  <si>
    <t>Current
(as-is)</t>
  </si>
  <si>
    <t>Option C
Self-hosted
Singapore</t>
  </si>
  <si>
    <t>Option D
Malaysia only
(residency)
(recommended)</t>
  </si>
  <si>
    <t>Note</t>
  </si>
  <si>
    <t>Database</t>
  </si>
  <si>
    <t>Neon free tier today. A and B use Supabase Free in Singapore. C and D run PostgreSQL on our own server, included in the server line.</t>
  </si>
  <si>
    <t>Application hosting</t>
  </si>
  <si>
    <t>Today's RM 0 is Vercel's non-commercial tier - see the note below. D is an Exabytes 4 GB server in Malaysia running both the application and the database.</t>
  </si>
  <si>
    <t>Authentication</t>
  </si>
  <si>
    <t>Clerk free tier today. Better Auth is free and self-hosted in every proposed option.</t>
  </si>
  <si>
    <t>File storage (photos)</t>
  </si>
  <si>
    <t>Cloudflare R2 - 10 GB free, no egress charges. Under Option D photographs move to the Malaysian server's own disk.</t>
  </si>
  <si>
    <t>Off-site backup storage</t>
  </si>
  <si>
    <t>A to C back up into the free Cloudflare allowance. Option D needs a Malaysian backup target - estimate.</t>
  </si>
  <si>
    <t>Transactional email</t>
  </si>
  <si>
    <t>Resend free tier.</t>
  </si>
  <si>
    <t>Error monitoring</t>
  </si>
  <si>
    <t>Sentry free tier.</t>
  </si>
  <si>
    <t>AI development assistant</t>
  </si>
  <si>
    <t>Existing company subscription - no incremental cost attributed. Enter a monthly figure here if it should be charged to this project.</t>
  </si>
  <si>
    <t>Domain name</t>
  </si>
  <si>
    <t>Existing cost, unchanged.</t>
  </si>
  <si>
    <t>TOTAL COST - MYR per month</t>
  </si>
  <si>
    <t>TOTAL COST - MYR per year</t>
  </si>
  <si>
    <t>TOTAL COST - MYR over three years</t>
  </si>
  <si>
    <t>Equivalent USD per month</t>
  </si>
  <si>
    <t>QUALITATIVE COMPARISON</t>
  </si>
  <si>
    <t>Factor</t>
  </si>
  <si>
    <t>Current</t>
  </si>
  <si>
    <t>Option A</t>
  </si>
  <si>
    <t>Option B</t>
  </si>
  <si>
    <t>Option C</t>
  </si>
  <si>
    <t>Option D</t>
  </si>
  <si>
    <t>Commercially licensed</t>
  </si>
  <si>
    <t>NO</t>
  </si>
  <si>
    <t>Yes</t>
  </si>
  <si>
    <t>Where client data is stored</t>
  </si>
  <si>
    <t>Outside Malaysia</t>
  </si>
  <si>
    <t>Who runs the database</t>
  </si>
  <si>
    <t>Neon</t>
  </si>
  <si>
    <t>Supabase</t>
  </si>
  <si>
    <t>Who takes the backups</t>
  </si>
  <si>
    <t>Who patches the server</t>
  </si>
  <si>
    <t>Vercel</t>
  </si>
  <si>
    <t>Cloudflare</t>
  </si>
  <si>
    <t>Latency from Kuala Lumpur</t>
  </si>
  <si>
    <t>Good</t>
  </si>
  <si>
    <t>Best</t>
  </si>
  <si>
    <t>WHY 'CURRENT' IS NOT REALLY FREE.  Vercel's Hobby plan, which hosts the application today, is licensed for non-commercial personal use only. A CRM the agency runs its business on is commercial use. Correcting this is the single largest cash line in the proposal, and it is a compliance obligation rather than an optional upgrade.</t>
  </si>
  <si>
    <t>WHO THE VENDORS ARE</t>
  </si>
  <si>
    <t>Service</t>
  </si>
  <si>
    <t>Who provides it</t>
  </si>
  <si>
    <t>Where they are</t>
  </si>
  <si>
    <t>What they are responsible for</t>
  </si>
  <si>
    <t>Database - today</t>
  </si>
  <si>
    <t>United States</t>
  </si>
  <si>
    <t>Runs the PostgreSQL database, backups and uptime. REPLACED under every option.</t>
  </si>
  <si>
    <t>Authentication - today</t>
  </si>
  <si>
    <t>Clerk</t>
  </si>
  <si>
    <t>Handles staff log-in. REPLACED by Better Auth, which we run ourselves, under every option.</t>
  </si>
  <si>
    <t>Hosting - today</t>
  </si>
  <si>
    <t>Vercel (free tier)</t>
  </si>
  <si>
    <t>Runs the web application. Free tier is not licensed for commercial use - see below.</t>
  </si>
  <si>
    <t>Database - Options A and B</t>
  </si>
  <si>
    <t>Singapore region</t>
  </si>
  <si>
    <t>Runs PostgreSQL, takes backups, keeps it online. We only connect to it.</t>
  </si>
  <si>
    <t>Hosting - Option A</t>
  </si>
  <si>
    <t>Vercel (paid)</t>
  </si>
  <si>
    <t>Global network</t>
  </si>
  <si>
    <t>Runs the web application, deployments and scaling.</t>
  </si>
  <si>
    <t>Hosting - Option B</t>
  </si>
  <si>
    <t>Same role as Vercel, on a cheaper plan.</t>
  </si>
  <si>
    <t>Server - Option C</t>
  </si>
  <si>
    <t>DigitalOcean or Vultr</t>
  </si>
  <si>
    <t>Supplies a bare server and network only. Everything above that - PostgreSQL, the application, backups, security updates - is OURS.</t>
  </si>
  <si>
    <t>Server - Option D</t>
  </si>
  <si>
    <t>Exabytes</t>
  </si>
  <si>
    <t>Malaysia</t>
  </si>
  <si>
    <t>Same as Option C: bare server only. All software and backups are OURS.</t>
  </si>
  <si>
    <t>Photo storage - all options</t>
  </si>
  <si>
    <t>Cloudflare R2</t>
  </si>
  <si>
    <t>Stores property photographs. Free at our volume.</t>
  </si>
  <si>
    <t>Email / monitoring</t>
  </si>
  <si>
    <t>Resend / Sentry</t>
  </si>
  <si>
    <t>Send notification emails and report faults. Both free at our volume.</t>
  </si>
  <si>
    <t>The key distinction:  Supabase, Vercel and Cloudflare are MANAGED services - they run the software and carry responsibility for backups, security patching and uptime. DigitalOcean, Vultr and Exabytes only rent us a bare machine. Under Options C and D nobody but us installs updates, checks that backups actually restore, or gets out of bed when the server stops. That is the real difference between the options, not the price.</t>
  </si>
  <si>
    <t>FREE-TIER REALITY CHECK  (Options A and B)</t>
  </si>
  <si>
    <t>Question</t>
  </si>
  <si>
    <t>Answer</t>
  </si>
  <si>
    <t>Is commercial use allowed?</t>
  </si>
  <si>
    <t>YES. Neither Supabase's terms nor its pricing page restrict the free plan to non-commercial use. This is genuinely different from Vercel's free tier, which explicitly forbids commercial use. Cloudflare Workers at USD 5 is a normal paid plan, so there is no licence question there at all.</t>
  </si>
  <si>
    <t>So why is it free?</t>
  </si>
  <si>
    <t>Supabase gives away a small database to win customers who later outgrow it. 500 MB of text records is tiny for them and generous for us - we are years away from filling it.</t>
  </si>
  <si>
    <t>What do we NOT get?</t>
  </si>
  <si>
    <t>No backups. No service-level agreement. Community support only - no one to email. 500 MB of shared memory. The project pauses after 7 days of no activity (harmless for a daily-use CRM).</t>
  </si>
  <si>
    <t>Which of those actually matters?</t>
  </si>
  <si>
    <t>The missing backups, and nothing else. For a system holding client identity-card numbers, running with no backup is the one unacceptable position - regardless of price.</t>
  </si>
  <si>
    <t>What should we do about it?</t>
  </si>
  <si>
    <t>Either (a) schedule our own database dump to Cloudflare R2 and TEST THE RESTORE - free, and what Supabase itself recommends for free-plan users; or (b) upgrade to Supabase Pro for daily backups, email support and no pause. Costs are shown below.</t>
  </si>
  <si>
    <t>OPTIONAL UPGRADE - SUPABASE PRO</t>
  </si>
  <si>
    <t>Variant</t>
  </si>
  <si>
    <t>MYR / month</t>
  </si>
  <si>
    <t>MYR / year</t>
  </si>
  <si>
    <t>What it adds</t>
  </si>
  <si>
    <t>Option B as costed (Supabase Free)</t>
  </si>
  <si>
    <t>Nothing extra. Backups are ours to arrange and test.</t>
  </si>
  <si>
    <t>Option B + Supabase Pro</t>
  </si>
  <si>
    <t>Daily backups kept 7 days, no inactivity pause, email support, larger database. Removes the only real objection to a free tier in production.</t>
  </si>
  <si>
    <t>Option A + Supabase Pro</t>
  </si>
  <si>
    <t>The same upgrade applied to the managed option.</t>
  </si>
  <si>
    <t>Recommendation on this point:  the low price of Option B is real and legitimate - it is not a licence breach and not a lower specification. But 'free tier' and 'production system holding client identity numbers' only belong in the same sentence if backups are genuinely handled. Either schedule our own dump and prove it restores, or pay for Supabase Pro. Both are defensible; doing neither is not.</t>
  </si>
  <si>
    <t>What Each Option Actually Includes</t>
  </si>
  <si>
    <t>Component by component: who provides it, where it sits, what it costs, and who is responsible when it breaks.</t>
  </si>
  <si>
    <t>OPTION A  -  Managed  (Supabase + Vercel)</t>
  </si>
  <si>
    <t>Everything is run by a vendor. Lowest demand on your time.</t>
  </si>
  <si>
    <t>Provided by</t>
  </si>
  <si>
    <t>Where it sits</t>
  </si>
  <si>
    <t>Responsible when it breaks</t>
  </si>
  <si>
    <t>What is included</t>
  </si>
  <si>
    <t>Supabase (free tier)</t>
  </si>
  <si>
    <t>PostgreSQL run and patched by Supabase. Free plan: 500 MB database, 500 MB shared RAM, community support only, NO SLA, and the project pauses after 7 days of no activity. Commercial use is permitted - unlike Vercel's free tier - but it is unsupported.</t>
  </si>
  <si>
    <t>Vercel (Pro plan)</t>
  </si>
  <si>
    <t>Runs the website, deployments, scaling and SSL certificates. One deploying seat.</t>
  </si>
  <si>
    <t>Staff log-in</t>
  </si>
  <si>
    <t>Better Auth</t>
  </si>
  <si>
    <t>Our own database</t>
  </si>
  <si>
    <t>Free open-source software running inside our own application. No vendor, no per-user fee.</t>
  </si>
  <si>
    <t>Property photographs</t>
  </si>
  <si>
    <t>10 GB free, no download charges. Already in use today.</t>
  </si>
  <si>
    <t>Backups</t>
  </si>
  <si>
    <t>Wherever we send it</t>
  </si>
  <si>
    <t>NOT INCLUDED on the Supabase free plan. Supabase's own documentation tells free-plan users to export regularly themselves. We must schedule our own dump and test that it restores.</t>
  </si>
  <si>
    <t>Notification email</t>
  </si>
  <si>
    <t>Resend</t>
  </si>
  <si>
    <t>Free tier, roughly 3,000 messages a month.</t>
  </si>
  <si>
    <t>Fault reporting</t>
  </si>
  <si>
    <t>Sentry</t>
  </si>
  <si>
    <t>Free tier. Needs to be switched on properly - it is installed but inactive today.</t>
  </si>
  <si>
    <t>Existing registrar</t>
  </si>
  <si>
    <t>-</t>
  </si>
  <si>
    <t>Unchanged.</t>
  </si>
  <si>
    <t>TOTAL</t>
  </si>
  <si>
    <t>Per month, tools and services only.</t>
  </si>
  <si>
    <t>What this buys us:   Vendor handles all patching, backups and uptime   |   No server to look after   |   Fastest to set up - nothing to provision</t>
  </si>
  <si>
    <t>What we take on:   Most expensive of the four, though only by about RM 40 a month   |   Client data sits in Singapore, not Malaysia   |   Vercel bills per deploying seat if more developers are added</t>
  </si>
  <si>
    <t>OPTION B  -  Lowest cost  (Supabase + Cloudflare)</t>
  </si>
  <si>
    <t>Same as Option A, with cheaper hosting.</t>
  </si>
  <si>
    <t>Cloudflare Workers</t>
  </si>
  <si>
    <t>Same role as Vercel at a quarter of the price. The deployment configuration for this is currently incomplete and must be repaired first.</t>
  </si>
  <si>
    <t>As Option A.</t>
  </si>
  <si>
    <t>As Option A - and same vendor as the hosting, which simplifies billing.</t>
  </si>
  <si>
    <t>What this buys us:   Cheapest option by a clear margin   |   Vendor still handles patching, backups and uptime   |   Hosting and photo storage under one vendor</t>
  </si>
  <si>
    <t>What we take on:   The Cloudflare deployment setup is broken today and needs fixing before this works   |   Cloudflare imposes tighter limits on how long a page may take to build   |   Client data still sits in Singapore</t>
  </si>
  <si>
    <t>OPTION C  -  Self-hosted, Singapore  (DigitalOcean or Vultr)</t>
  </si>
  <si>
    <t>We rent a bare server. Everything on it is ours.</t>
  </si>
  <si>
    <t>Server</t>
  </si>
  <si>
    <t>2 GB machine. The vendor supplies hardware, network and power - nothing else.</t>
  </si>
  <si>
    <t>PostgreSQL, self-installed</t>
  </si>
  <si>
    <t>On our server</t>
  </si>
  <si>
    <t>No size limit and no vendor. We install, tune, patch and back it up.</t>
  </si>
  <si>
    <t>Our server</t>
  </si>
  <si>
    <t>We run the application, renew SSL certificates and handle deployments.</t>
  </si>
  <si>
    <t>Kept on R2 - free and simpler than storing on the server.</t>
  </si>
  <si>
    <t>Ourselves, into Cloudflare R2</t>
  </si>
  <si>
    <t>Must be set up and, importantly, test-restored. Nothing is automatic.</t>
  </si>
  <si>
    <t>What this buys us:   Full control of the database and server   |   No vendor size limits or pricing changes   |   Cheaper than Option A</t>
  </si>
  <si>
    <t>What we take on:   Security patching, backups and uptime are entirely ours   |   No vendor to call when it stops at 11pm   |   Client data still sits in Singapore, so it does not solve data residency</t>
  </si>
  <si>
    <t>OPTION D  -  Malaysia only  (Exabytes)</t>
  </si>
  <si>
    <t>A bare server inside Malaysia. Keeps all client data in the country.</t>
  </si>
  <si>
    <t>Exabytes NVMe C2</t>
  </si>
  <si>
    <t>2 vCPU, 4 GB RAM, 100 GB NVMe, Tier-3 datacentre. Hardware and network only.</t>
  </si>
  <si>
    <t>On our server, Malaysia</t>
  </si>
  <si>
    <t>All client records, including identity-card numbers, stay in Malaysia.</t>
  </si>
  <si>
    <t>Lowest latency of any option for staff working in Malaysia.</t>
  </si>
  <si>
    <t>Our server disk</t>
  </si>
  <si>
    <t>Moved off Cloudflare so that no personal data leaves the country. 100 GB included.</t>
  </si>
  <si>
    <t>Malaysian storage provider</t>
  </si>
  <si>
    <t>Estimate. A backup held overseas would defeat the whole purpose, so this line is not optional.</t>
  </si>
  <si>
    <t>Resend, or a local provider</t>
  </si>
  <si>
    <t>Decision needed</t>
  </si>
  <si>
    <t>Message content passes through the provider. Confirm whether this falls inside the residency requirement.</t>
  </si>
  <si>
    <t>Sentry, or switched off</t>
  </si>
  <si>
    <t>Fault reports can contain personal data. Simplest answer is to strip it before sending.</t>
  </si>
  <si>
    <t>What this buys us:   All client data stays inside Malaysia - closes the PDPA residency question   |   Best response time for staff working locally   |   Costs less than Option A   |   Full control, no vendor limits</t>
  </si>
  <si>
    <t>What we take on:   Security patching, backups and uptime are entirely ours   |   No managed provider exists in Malaysia, so there is no fallback option   |   Photographs, email and fault reporting all need handling separately</t>
  </si>
  <si>
    <t>Reading the 'Responsible when it breaks' column:  green means a vendor is contractually on the hook - they patch it, back it up and restore it. Red means we are. Options A and B are almost entirely green; Options C and D are almost entirely red. That column, not the monthly figure, is the real difference between these four.</t>
  </si>
  <si>
    <t>Specification Comparison - Like for Like</t>
  </si>
  <si>
    <t>Answering the question: is the cheaper option cheaper because it gives us less?</t>
  </si>
  <si>
    <t>SHORT ANSWER.  No - Option B is not cheaper because it is a smaller machine. Options A and B do not rent us a machine at all: they charge per request served, and the vendor supplies whatever capacity each request needs. Vercel charges USD 20 per developer seat whether we serve ten requests or ten million; Cloudflare charges a USD 5 floor that already covers ten million requests. At our size we are paying Vercel for a team platform, not for capacity.
There IS one genuine specification difference, and it is set out in red below: Cloudflare gives 128 MB of memory per request against Vercel's 2 GB. That is a real constraint - it is just far above what this application needs.</t>
  </si>
  <si>
    <t>1.  THESE ARE TWO DIFFERENT KINDS OF PRODUCT</t>
  </si>
  <si>
    <t>Options A and B  -  pay per request</t>
  </si>
  <si>
    <t>Options C and D  -  rent a machine</t>
  </si>
  <si>
    <t>How capacity works</t>
  </si>
  <si>
    <t>No fixed machine. Each request gets its own short-lived slice of capacity, and thousands can run side by side.</t>
  </si>
  <si>
    <t>One fixed machine. Every request, plus the database, shares the same processor and memory.</t>
  </si>
  <si>
    <t>If traffic doubles</t>
  </si>
  <si>
    <t>Nothing to do. It scales by itself and we pay a little more.</t>
  </si>
  <si>
    <t>We must resize the server ourselves, and pay for the larger size all month.</t>
  </si>
  <si>
    <t>If traffic is almost zero</t>
  </si>
  <si>
    <t>We still pay the plan minimum, but nothing more.</t>
  </si>
  <si>
    <t>We pay for the whole machine regardless - it sits idle.</t>
  </si>
  <si>
    <t>What the price buys</t>
  </si>
  <si>
    <t>Vercel: a developer platform, per seat.  Cloudflare: capacity, per request.</t>
  </si>
  <si>
    <t>Hardware, network and power. Nothing else.</t>
  </si>
  <si>
    <t>2.  SPECIFICATION, SIDE BY SIDE</t>
  </si>
  <si>
    <t>Specification</t>
  </si>
  <si>
    <t>Option A
Vercel Pro</t>
  </si>
  <si>
    <t>Option B
Cloudflare Workers</t>
  </si>
  <si>
    <t>Option C
DigitalOcean / Vultr</t>
  </si>
  <si>
    <t>Option D
Exabytes C2</t>
  </si>
  <si>
    <t>Cost per month</t>
  </si>
  <si>
    <t>RM 95</t>
  </si>
  <si>
    <t>RM 24</t>
  </si>
  <si>
    <t>RM 57</t>
  </si>
  <si>
    <t>RM 60</t>
  </si>
  <si>
    <t>Hosting line only, excluding database and domain.</t>
  </si>
  <si>
    <t>Memory</t>
  </si>
  <si>
    <t>2 GB per request
(up to 4 GB)</t>
  </si>
  <si>
    <t>128 MB per request</t>
  </si>
  <si>
    <t>2 GB total,
shared with database</t>
  </si>
  <si>
    <t>4 GB total,
shared with database</t>
  </si>
  <si>
    <t>THE ONE REAL SPEC GAP. Cloudflare's 128 MB is a hard ceiling per request - but it is memory per request, not for the whole system, and thousands of requests run in parallel.</t>
  </si>
  <si>
    <t>Processor</t>
  </si>
  <si>
    <t>1 vCPU per request
(up to 2)</t>
  </si>
  <si>
    <t>Metered CPU time,
30M ms included</t>
  </si>
  <si>
    <t>1 vCPU total</t>
  </si>
  <si>
    <t>2 vCPU total</t>
  </si>
  <si>
    <t>A and B give each request its own processor slice. C and D share one processor across everything, including the database.</t>
  </si>
  <si>
    <t>Max time per request</t>
  </si>
  <si>
    <t>300 seconds
(up to 800)</t>
  </si>
  <si>
    <t>30 seconds of CPU
(up to 5 minutes)</t>
  </si>
  <si>
    <t>Ours to set</t>
  </si>
  <si>
    <t>Our slowest page is a report query measured in hundreds of milliseconds. Not a constraint.</t>
  </si>
  <si>
    <t>Requests included</t>
  </si>
  <si>
    <t>10 million / month</t>
  </si>
  <si>
    <t>No vendor limit</t>
  </si>
  <si>
    <t>C and D are limited by the machine, not by a plan.</t>
  </si>
  <si>
    <t>Data transfer included</t>
  </si>
  <si>
    <t>1 TB / month</t>
  </si>
  <si>
    <t>No egress charge</t>
  </si>
  <si>
    <t>2 TB / month</t>
  </si>
  <si>
    <t>4 TB / month</t>
  </si>
  <si>
    <t>Cloudflare not charging for egress is a genuine structural advantage.</t>
  </si>
  <si>
    <t>Disk storage</t>
  </si>
  <si>
    <t>50 GB blob storage</t>
  </si>
  <si>
    <t>10 GB free on R2</t>
  </si>
  <si>
    <t>~50 GB SSD</t>
  </si>
  <si>
    <t>100 GB NVMe</t>
  </si>
  <si>
    <t>On C and D the disk also holds the database and, on D, the property photographs.</t>
  </si>
  <si>
    <t>Automatic scaling</t>
  </si>
  <si>
    <t>Yes, to 30,000 concurrent</t>
  </si>
  <si>
    <t>Yes, effectively unlimited</t>
  </si>
  <si>
    <t>No - we resize manually</t>
  </si>
  <si>
    <t>Irrelevant at five users, but it is the reason A and B need no capacity planning.</t>
  </si>
  <si>
    <t>Runtime environment</t>
  </si>
  <si>
    <t>Full Node.js</t>
  </si>
  <si>
    <t>V8 isolates, not Node.js</t>
  </si>
  <si>
    <t>THE REAL CATCH WITH B. Next.js does not run natively on Cloudflare; it needs the OpenNext adapter, which is incomplete in our repository today.</t>
  </si>
  <si>
    <t>Who patches it</t>
  </si>
  <si>
    <t>If we exceed the plan</t>
  </si>
  <si>
    <t>Overage charged per GB</t>
  </si>
  <si>
    <t>USD 0.30 per extra million requests</t>
  </si>
  <si>
    <t>Site slows, then falls over</t>
  </si>
  <si>
    <t>A and B degrade financially. C and D degrade operationally - which is worse at 9am on a Monday.</t>
  </si>
  <si>
    <t>3.  WHAT WE ACTUALLY NEED  (blue cells are estimates - adjust them)</t>
  </si>
  <si>
    <t>Our estimated need</t>
  </si>
  <si>
    <t>Option A provides</t>
  </si>
  <si>
    <t>Option B provides</t>
  </si>
  <si>
    <t>Headroom (A / B)</t>
  </si>
  <si>
    <t>Requests per month</t>
  </si>
  <si>
    <t>Five agents at roughly 300 page views each per working day, plus web-form submissions.</t>
  </si>
  <si>
    <t>Data transfer, GB per month</t>
  </si>
  <si>
    <t>Mostly property photographs. Cloudflare does not charge for this at all.</t>
  </si>
  <si>
    <t>Peak memory per request, MB</t>
  </si>
  <si>
    <t>A Next.js page render. Comfortably inside Cloudflare's 128 MB, but with less spare room than Vercel.</t>
  </si>
  <si>
    <t>VERDICT.  On every measure that matters to this application, all four options are enormously over-provisioned - we would need roughly two hundred times our expected traffic before any plan limit came into view. So the cheaper option is not cheaper because it gives us less capacity; it is cheaper because Cloudflare sells capacity by the request while Vercel sells a platform by the developer seat.
The two things that should decide between them are not on the price line at all:  (1) Cloudflare's 128 MB memory ceiling is real, though roughly double what a page render of ours needs;  (2) Cloudflare does not run Node.js, so Next.js needs a translation layer that is currently incomplete in our code - that is a day of work and a permanently less-travelled path.
Worth noting for the residency discussion:  Option D gives us the largest specification of all four - 2 processors and 4 GB of dedicated memory - for less than Vercel costs. Its cost is not capacity, it is that we do the patching.</t>
  </si>
  <si>
    <t>Sources:  vercel.com/docs/functions/limitations  |  fencode.dev Vercel Free vs Pro 2026  |  developers.cloudflare.com/workers/platform/limits  |  developers.cloudflare.com/workers/platform/pricing  |  cloudmart.dev/blog/cheapest-vps-2026  |  exabytes.my/servers/nvme-vps      Checked 10 August 2026.</t>
  </si>
  <si>
    <t>Capacity Check - Is 500 MB Really Enough?</t>
  </si>
  <si>
    <t>Not estimated. Our actual database schema was created in PostgreSQL 16 and filled with realistic Malaysian listing data, then measured.</t>
  </si>
  <si>
    <t>HOW THIS WAS MEASURED.  Your migration files were applied to a real PostgreSQL 16 database. It was then loaded with 10,000 property listings, 30,000 leads, 15,000 contacts and 150,000 activity notes - using full-length Malaysian addresses, owner names, NRIC numbers and long free-text notes, so the row sizes are pessimistic rather than flattering. Indexes are included in every figure below. The whole thing came to 104 MB.</t>
  </si>
  <si>
    <t>1.  MEASURED SIZE PER RECORD  (including indexes)</t>
  </si>
  <si>
    <t>Table</t>
  </si>
  <si>
    <t>Rows loaded</t>
  </si>
  <si>
    <t>Size on disk</t>
  </si>
  <si>
    <t>Bytes per row</t>
  </si>
  <si>
    <t>Share of 500 MB</t>
  </si>
  <si>
    <t>Property listings</t>
  </si>
  <si>
    <t>Full title, address, price, size, owner name and phone.</t>
  </si>
  <si>
    <t>Leads</t>
  </si>
  <si>
    <t>Includes marketing tracking fields and long referring web addresses.</t>
  </si>
  <si>
    <t>Contacts (clients)</t>
  </si>
  <si>
    <t>Includes NRIC number, occupation and a long free-text note.</t>
  </si>
  <si>
    <t>Activity notes</t>
  </si>
  <si>
    <t>The largest table by far - a paragraph of notes on every call and viewing.</t>
  </si>
  <si>
    <t>Photo records (pointers only)</t>
  </si>
  <si>
    <t>80,000 photographs across 10,000 listings. The database holds only the file NAME - the images themselves are on Cloudflare R2.</t>
  </si>
  <si>
    <t>TOTAL DATABASE</t>
  </si>
  <si>
    <t>Plus about 8 MB of PostgreSQL's own overhead. Measured total: 126 MB.</t>
  </si>
  <si>
    <t>2.  WHAT WE WILL ACTUALLY ACCUMULATE  (blue cells are estimates - adjust them)</t>
  </si>
  <si>
    <t>Record type</t>
  </si>
  <si>
    <t>New per year</t>
  </si>
  <si>
    <t>Bytes each</t>
  </si>
  <si>
    <t>MB per year</t>
  </si>
  <si>
    <t>Roughly two new listings per agent per month.</t>
  </si>
  <si>
    <t>About 60 enquiries per agent per month across all sources.</t>
  </si>
  <si>
    <t>Leads that convert - assumed one in five.</t>
  </si>
  <si>
    <t>Ten notes per lead: calls, viewings, WhatsApp messages, follow-ups.</t>
  </si>
  <si>
    <t>Eight photographs per new listing. Only the file name is stored here.</t>
  </si>
  <si>
    <t>TOTAL GROWTH PER YEAR</t>
  </si>
  <si>
    <t>YEARS UNTIL 500 MB IS FULL</t>
  </si>
  <si>
    <t>At the rates above. Even at three times this activity it would still be over a decade.</t>
  </si>
  <si>
    <t>3.  THE PHOTOGRAPHS - A SEPARATE AND LARGER QUESTION</t>
  </si>
  <si>
    <t>Property photographs do NOT go into the Supabase database. They go to Cloudflare R2, which is a different service with its own allowance. This is the storage that actually grows quickly, so it is worth sizing properly.</t>
  </si>
  <si>
    <t>Unit</t>
  </si>
  <si>
    <t>Photographs per listing</t>
  </si>
  <si>
    <t>photos</t>
  </si>
  <si>
    <t>Typical for a residential listing.</t>
  </si>
  <si>
    <t>Size per photograph after compression</t>
  </si>
  <si>
    <t>MB</t>
  </si>
  <si>
    <t>A web-optimised image. Originals from a phone are far larger and should be resized on upload.</t>
  </si>
  <si>
    <t>Listings after 10 years</t>
  </si>
  <si>
    <t>listings</t>
  </si>
  <si>
    <t>From the growth table above.</t>
  </si>
  <si>
    <t>Total photo storage needed</t>
  </si>
  <si>
    <t>GB</t>
  </si>
  <si>
    <t>Cloudflare R2 free allowance</t>
  </si>
  <si>
    <t>Free forever, and no charge for downloads.</t>
  </si>
  <si>
    <t>Cost of the excess</t>
  </si>
  <si>
    <t>VERDICT.  500 MB is not too small - it is roughly fifty times what the listings themselves need. Ten thousand property listings measured at 4.6 MB, which is under one per cent of the allowance. The database is dominated by activity notes, not listings, and even those take decades to fill it at a five-agent pace.
Two honest caveats. First, the tighter free-plan constraint is the 500 MB of SHARED MEMORY, not the 500 MB of disk - memory affects how fast pages load, not how much we can store, and this application currently makes more database calls per page than it should (see the review findings). That is worth fixing whichever plan we are on. Second, photographs live on Cloudflare R2, not here, and they are the thing that genuinely grows - though at roughly one Ringgit a month for tens of gigabytes, it is not a wall we hit, just a line we start paying.
So capacity is not a reason to leave the free plan. The absence of backups is.</t>
  </si>
  <si>
    <t>Measured 10 August 2026 on PostgreSQL 16 using the project's own migration files.  R2 pricing: developers.cloudflare.com/r2/pricing.  Supabase limits: supabase.com/pricing.</t>
  </si>
  <si>
    <t>4.  HOW THE PHOTOGRAPHS ACTUALLY FLOW  (this is already how the system is built)</t>
  </si>
  <si>
    <t>Step</t>
  </si>
  <si>
    <t>What happens</t>
  </si>
  <si>
    <t>1.  Agent uploads a photo</t>
  </si>
  <si>
    <t>The file goes straight to Cloudflare R2 object storage. It never enters the database.</t>
  </si>
  <si>
    <t>2.  Database records a pointer</t>
  </si>
  <si>
    <t>Only the file name and its location are stored - measured at 294 bytes per photograph, against roughly 500,000 bytes for the image itself. That is about 1,700 times smaller.</t>
  </si>
  <si>
    <t>3.  Agent opens a listing</t>
  </si>
  <si>
    <t>The page returns a temporary, signed web address for each photograph, valid for one hour.</t>
  </si>
  <si>
    <t>4.  Browser fetches the image</t>
  </si>
  <si>
    <t>The browser downloads directly from Cloudflare - the image never passes through our application server. Our hosting bandwidth is untouched, and Cloudflare charges nothing for downloads.</t>
  </si>
  <si>
    <t>WHY THIS MATTERS TO THE DECISION.  Because images bypass the application entirely, photograph traffic does not consume hosting bandwidth on any option, and the 500 MB database limit is essentially unrelated to how many photographs we hold. It is the single biggest reason a small free database is workable for a property business.
The exception is OPTION D. If client data must stay in Malaysia, photographs move off Cloudflare and onto our own server - at which point they consume our disk, our bandwidth and our backup space, and every image request goes through our machine instead of Cloudflare's network. That is a genuine and often-overlooked cost of choosing residency, and it is why Option D should be sized with 100 GB rather than the cheaper 30 GB local plans.</t>
  </si>
  <si>
    <t>Data Residency - Singapore versus Malaysia</t>
  </si>
  <si>
    <t>What changes, and what it costs, if client information may not leave Malaysia.</t>
  </si>
  <si>
    <t>The CRM stores client identity-card and passport numbers. Under the Malaysian Personal Data Protection Act, transferring personal data outside Malaysia carries conditions. Options A to C place that data in Singapore; Option D keeps everything inside Malaysia. This tab sets out the practical and cost difference. It is a flag for professional advice, not a legal opinion.</t>
  </si>
  <si>
    <t>WHAT HAS TO CHANGE</t>
  </si>
  <si>
    <t>Element</t>
  </si>
  <si>
    <t>Options A - C (Singapore)</t>
  </si>
  <si>
    <t>Option D (Malaysia only)
(recommended)</t>
  </si>
  <si>
    <t>Consequence</t>
  </si>
  <si>
    <t>Supabase managed, Singapore</t>
  </si>
  <si>
    <t>PostgreSQL we run in Malaysia</t>
  </si>
  <si>
    <t>No managed provider offers a Malaysia region - Supabase's only Southeast Asia region is Singapore. Choosing Malaysia therefore means self-hosting. There is no managed shortcut.</t>
  </si>
  <si>
    <t>Vercel or Cloudflare</t>
  </si>
  <si>
    <t>Same Malaysian server</t>
  </si>
  <si>
    <t>Loses automatic scaling and the vendor's deployment tooling.</t>
  </si>
  <si>
    <t>Cloudflare R2 (free, overseas)</t>
  </si>
  <si>
    <t>Local server disk</t>
  </si>
  <si>
    <t>Photographs are personal data once tied to a client record. 100 GB is included on the proposed plan.</t>
  </si>
  <si>
    <t>Cloudflare R2, free allowance</t>
  </si>
  <si>
    <t>Second Malaysian location</t>
  </si>
  <si>
    <t>The item most often forgotten. A backup sitting overseas defeats the residency requirement entirely.</t>
  </si>
  <si>
    <t>Email delivery</t>
  </si>
  <si>
    <t>Resend (overseas)</t>
  </si>
  <si>
    <t>Local SMTP, or accept overseas</t>
  </si>
  <si>
    <t>Message content and recipient addresses pass through the provider. Worth confirming whether this is in scope.</t>
  </si>
  <si>
    <t>Sentry (overseas)</t>
  </si>
  <si>
    <t>Disable, or self-host</t>
  </si>
  <si>
    <t>Diagnostic data can contain personal information. Simplest answer is to strip it before sending.</t>
  </si>
  <si>
    <t>MALAYSIAN HOSTING PROVIDERS SURVEYED</t>
  </si>
  <si>
    <t>Provider / plan</t>
  </si>
  <si>
    <t>MYR per month</t>
  </si>
  <si>
    <t>Shinjiru Budget VPS</t>
  </si>
  <si>
    <t>1 vCPU, 1 GB RAM, 30 GB SSD</t>
  </si>
  <si>
    <t>Cheapest local option, but 1 GB RAM cannot run the application and database together.</t>
  </si>
  <si>
    <t>Exabytes NVMe C1</t>
  </si>
  <si>
    <t>1 vCPU, 4 GB RAM, 50 GB NVMe</t>
  </si>
  <si>
    <t>Good value, single core. Workable but tight during deployments.</t>
  </si>
  <si>
    <t>2 vCPU, 4 GB RAM, 100 GB NVMe</t>
  </si>
  <si>
    <t>RECOMMENDED for Option D. Comfortable for application, database and photographs. Tier-3 datacentre.</t>
  </si>
  <si>
    <t>VPS Malaysia Plan 1</t>
  </si>
  <si>
    <t>Underpowered for this workload.</t>
  </si>
  <si>
    <t>ServerFreak Starter</t>
  </si>
  <si>
    <t>Underpowered for the price.</t>
  </si>
  <si>
    <t>AWS Asia Pacific (Malaysia)</t>
  </si>
  <si>
    <t>Comparable managed instance</t>
  </si>
  <si>
    <t>see note</t>
  </si>
  <si>
    <t>A Malaysian AWS region exists and would satisfy residency with enterprise tooling, but costs several times a local server and adds complexity. Revisit only if the agency grows substantially.</t>
  </si>
  <si>
    <t>COST OF CHOOSING MALAYSIA</t>
  </si>
  <si>
    <t>Option A (Singapore)</t>
  </si>
  <si>
    <t>Option D (Malaysia)</t>
  </si>
  <si>
    <t>Difference</t>
  </si>
  <si>
    <t>Cash - MYR per month</t>
  </si>
  <si>
    <t>Cash - MYR per year</t>
  </si>
  <si>
    <t>Cash - MYR over three years</t>
  </si>
  <si>
    <t>Reading of it:  keeping data in Malaysia costs nothing extra - Option D is in fact about RM 120 a year cheaper than Option A, because a Malaysian server replaces the hosting subscription. The trade-off is not money. No provider offers a managed Malaysia region, so backups, patching and uptime stop being a vendor's responsibility and become ours. If residency is a genuine requirement, or a corporate client is likely to ask, Option D is affordable and worth doing properly.</t>
  </si>
  <si>
    <t>Implementation Plan</t>
  </si>
  <si>
    <t>The order of work. Sequenced so each phase reduces the risk of the next.</t>
  </si>
  <si>
    <t>Phase</t>
  </si>
  <si>
    <t>Deliverable</t>
  </si>
  <si>
    <t>Priority</t>
  </si>
  <si>
    <t>What it addresses, and why it sits here in the order</t>
  </si>
  <si>
    <t>Phase 0</t>
  </si>
  <si>
    <t>Unbreak the build</t>
  </si>
  <si>
    <t>Critical</t>
  </si>
  <si>
    <t>The dependency list and lockfile disagree, so a clean install or automated deployment fails before the code compiles. Nothing can ship until this is fixed.</t>
  </si>
  <si>
    <t>Phase 1</t>
  </si>
  <si>
    <t>Close security gaps</t>
  </si>
  <si>
    <t>Four verified issues, including a public endpoint open to the internet and any agent being able to view any client's identity-card number. Must be done before more client data is entered.</t>
  </si>
  <si>
    <t>Phase 2</t>
  </si>
  <si>
    <t>Move database to PostgreSQL</t>
  </si>
  <si>
    <t>High</t>
  </si>
  <si>
    <t>Removes the current database vendor. Only one file changes - the code was written to isolate it. Also gives proper database transactions, which Phase 4 depends on.</t>
  </si>
  <si>
    <t>Phase 3</t>
  </si>
  <si>
    <t>Replace Clerk with Better Auth</t>
  </si>
  <si>
    <t>Removes the authentication vendor and its per-user pricing risk. Database-held sessions also close the gap where departed staff keep access.</t>
  </si>
  <si>
    <t>Phase 4</t>
  </si>
  <si>
    <t>Fix data-loss and accuracy faults</t>
  </si>
  <si>
    <t>Duplicate client records, repeat enquiries silently discarded, bulk imports rejecting properly formatted rows. Needs the transactions from Phase 2.</t>
  </si>
  <si>
    <t>Phase 5</t>
  </si>
  <si>
    <t>Operations and compliance</t>
  </si>
  <si>
    <t>Medium</t>
  </si>
  <si>
    <t>Schedules the 24-month PDPA purge, which exists but runs nowhere today. Adds start-up configuration checks and database indexes.</t>
  </si>
  <si>
    <t>Phase 6</t>
  </si>
  <si>
    <t>Finalise hosting and deploy</t>
  </si>
  <si>
    <t>Implement whichever option is approved.</t>
  </si>
  <si>
    <t>Ongoing</t>
  </si>
  <si>
    <t>Automated test coverage</t>
  </si>
  <si>
    <t>Four of the Phase 4 faults would have been caught automatically. Reduces the chance of repeat incidents.</t>
  </si>
  <si>
    <t>EXTRA SETUP STEP BY HOSTING OPTION</t>
  </si>
  <si>
    <t>Option</t>
  </si>
  <si>
    <t>Additional work required</t>
  </si>
  <si>
    <t>Managed platform - deploy and configure only. Nothing further.</t>
  </si>
  <si>
    <t>Repair the Cloudflare deployment configuration, which is currently incomplete.</t>
  </si>
  <si>
    <t>Provision the Singapore server, harden it, install PostgreSQL, and build and test backups.</t>
  </si>
  <si>
    <t>As Option C, plus move photographs to local storage and arrange a Malaysian backup target.</t>
  </si>
  <si>
    <t>Phases 0 and 1 are not cost-saving work - they close a live data-exposure gap and a broken build, and are recommended whichever hosting option is approved. Phases 2 and 3 are what remove the two paid service vendors.</t>
  </si>
  <si>
    <t>Risks &amp; Findings</t>
  </si>
  <si>
    <t>From a full review of the source code on 10 August 2026. Each finding was verified against the code, not assumed.</t>
  </si>
  <si>
    <t>Ref</t>
  </si>
  <si>
    <t>Finding</t>
  </si>
  <si>
    <t>Severity</t>
  </si>
  <si>
    <t>Business impact</t>
  </si>
  <si>
    <t>Addressed in</t>
  </si>
  <si>
    <t>R1</t>
  </si>
  <si>
    <t>Public web-form endpoint is unauthenticated</t>
  </si>
  <si>
    <t>Anyone on the internet can create leads, trigger WhatsApp messages to our agents, and record PDPA consent for people who never gave it. It also reveals whether a phone number already belongs to a client.</t>
  </si>
  <si>
    <t>R2</t>
  </si>
  <si>
    <t>Any agent can open any client's record</t>
  </si>
  <si>
    <t>By changing the address in the browser, an agent can view any client's identity-card or passport number, budget and private notes - including other agents' clients.</t>
  </si>
  <si>
    <t>R3</t>
  </si>
  <si>
    <t>Departed staff keep data-export access</t>
  </si>
  <si>
    <t>Deactivating a user does not end their existing session, so a former administrator can still download a complete client data file.</t>
  </si>
  <si>
    <t>Phase 1 / 3</t>
  </si>
  <si>
    <t>R4</t>
  </si>
  <si>
    <t>Document deletion skips its permission check</t>
  </si>
  <si>
    <t>In certain conditions any logged-in user can permanently delete stored client documents.</t>
  </si>
  <si>
    <t>R5</t>
  </si>
  <si>
    <t>Build fails on a clean installation</t>
  </si>
  <si>
    <t>The dependency list and lockfile disagree, so automated deployment fails before compiling. Releases are blocked.</t>
  </si>
  <si>
    <t>R6</t>
  </si>
  <si>
    <t>Repeat enquiries silently discarded</t>
  </si>
  <si>
    <t>A past client making a new enquiry is matched to their old closed record. The new enquiry is never created and never assigned. Lost business, with no trace that it happened.</t>
  </si>
  <si>
    <t>R7</t>
  </si>
  <si>
    <t>Duplicate client records created</t>
  </si>
  <si>
    <t>Converting a lead twice - an ordinary double-click - creates two records for one person and distorts agent performance figures.</t>
  </si>
  <si>
    <t>R8</t>
  </si>
  <si>
    <t>Bulk import rejects valid rows</t>
  </si>
  <si>
    <t>A budget entered as 1,200,000 or 'RM 850000' causes the whole row to be rejected, name and phone included. Staff lose data during import.</t>
  </si>
  <si>
    <t>R9</t>
  </si>
  <si>
    <t>PDPA 24-month purge not scheduled</t>
  </si>
  <si>
    <t>The deletion routine was written but nothing runs it, so the retention obligation is not currently being met.</t>
  </si>
  <si>
    <t>R10</t>
  </si>
  <si>
    <t>Hosting licence breach</t>
  </si>
  <si>
    <t>The free hosting tier in use is licensed for non-commercial personal use only. Continued business use breaches those terms.</t>
  </si>
  <si>
    <t>R11</t>
  </si>
  <si>
    <t>Error monitoring is inert</t>
  </si>
  <si>
    <t>Low</t>
  </si>
  <si>
    <t>The monitoring service is installed but never started, so faults in live use are discarded rather than reported.</t>
  </si>
  <si>
    <t>R12</t>
  </si>
  <si>
    <t>No automated tests</t>
  </si>
  <si>
    <t>Nothing guards against repeat faults; four of the issues above would have been caught automatically.</t>
  </si>
  <si>
    <t>R14</t>
  </si>
  <si>
    <t>Production system on an unsupported free plan</t>
  </si>
  <si>
    <t>The Supabase free plan includes NO backups and no service-level agreement, with community support only. Commercial use is permitted, but if the database is lost there is nothing to restore from and no one to call. Must be resolved by scheduling our own verified backups or upgrading to Supabase Pro.</t>
  </si>
  <si>
    <t>Phase 2 / 5</t>
  </si>
  <si>
    <t>R13</t>
  </si>
  <si>
    <t>Cross-border data residency</t>
  </si>
  <si>
    <t>Decision</t>
  </si>
  <si>
    <t>Client identity numbers would sit in Singapore under Options A to C. Option D keeps everything in Malaysia. See the Data Residency tab. Flagged for professional advice.</t>
  </si>
  <si>
    <t>Management</t>
  </si>
  <si>
    <t>Critical and High findings</t>
  </si>
  <si>
    <t>Assumptions, Inputs &amp; Sources</t>
  </si>
  <si>
    <t>All costs in Malaysian Ringgit. Blue cells are inputs - change them and the whole workbook recalculates.</t>
  </si>
  <si>
    <t>INPUTS</t>
  </si>
  <si>
    <t>Input</t>
  </si>
  <si>
    <t>Basis / note</t>
  </si>
  <si>
    <t>USD to MYR exchange rate</t>
  </si>
  <si>
    <t>Indicative. Update to your bank's rate on the day of the proposal. Services priced in US dollars are converted at this rate.</t>
  </si>
  <si>
    <t>Number of staff</t>
  </si>
  <si>
    <t>Current agency headcount.</t>
  </si>
  <si>
    <t>PRICING SOURCES (checked 10 August 2026)</t>
  </si>
  <si>
    <t>List price</t>
  </si>
  <si>
    <t>Source and notes</t>
  </si>
  <si>
    <t>Supabase Free tier (Singapore)</t>
  </si>
  <si>
    <t>USD 0</t>
  </si>
  <si>
    <t>500 MB database, 1 GB file storage, 5 GB egress, 50k users, 7-day backup snapshot. Singapore is the only Southeast Asia region - there is no Malaysia region. Projects pause after 7 days of no activity; a daily-use CRM will not pause. Sources: itpathsolutions.com/supabase-free-tier-limits ; supabase.com/docs/guides/platform/regions</t>
  </si>
  <si>
    <t>Supabase Pro</t>
  </si>
  <si>
    <t>USD 25 / mth</t>
  </si>
  <si>
    <t>Only if free-tier limits are exceeded. Adds daily backups and removes the pause.</t>
  </si>
  <si>
    <t>Vercel Hobby</t>
  </si>
  <si>
    <t>LICENCE RISK - restricted to non-commercial personal use only. Not valid for a business system. Source: supadrop.host/blog/vercel-pricing-free-tier-limits/</t>
  </si>
  <si>
    <t>Vercel Pro</t>
  </si>
  <si>
    <t>USD 20 / seat / mth</t>
  </si>
  <si>
    <t>Charged per deploying seat, not per agent. One seat assumed.</t>
  </si>
  <si>
    <t>Cloudflare Workers Paid</t>
  </si>
  <si>
    <t>USD 5 / mth</t>
  </si>
  <si>
    <t>10M requests and 30M CPU-ms included. The free tier caps CPU at 10 ms per request, too tight for this application. Source: developers.cloudflare.com/workers/platform/pricing/</t>
  </si>
  <si>
    <t>VPS - Singapore, 2 GB</t>
  </si>
  <si>
    <t>USD 12 / mth</t>
  </si>
  <si>
    <t>DigitalOcean SGP1 or Vultr Singapore, roughly 15-20 ms from Kuala Lumpur. Source: cloudmart.dev/blog/cheapest-vps-2026</t>
  </si>
  <si>
    <t>VPS - Malaysia, 4 GB (Exabytes C2)</t>
  </si>
  <si>
    <t>RM 60 / mth</t>
  </si>
  <si>
    <t>2 vCPU, 4 GB RAM, 100 GB NVMe, 4 TB transfer, Tier-3 datacentre in Malaysia. Local alternatives: Shinjiru RM 49, VPS Malaysia RM 59, ServerFreak RM 75 - all 1 GB RAM, too small for this workload. Source: exabytes.my/servers/nvme-vps ; onedollarvps.com/locations/vps-in-malaysia</t>
  </si>
  <si>
    <t>Malaysian off-site backup storage</t>
  </si>
  <si>
    <t>RM 25 / mth</t>
  </si>
  <si>
    <t>ESTIMATE. Required only under Option D, because the free Cloudflare backup target sits outside Malaysia.</t>
  </si>
  <si>
    <t>Cloudflare R2 object storage</t>
  </si>
  <si>
    <t>10 GB free, no egress charges. Already in use for property photographs.</t>
  </si>
  <si>
    <t>Better Auth (replaces Clerk)</t>
  </si>
  <si>
    <t>MIT licence, self-hosted, no per-user charge. Source: better-auth.com/blog/authjs-joins-better-auth</t>
  </si>
  <si>
    <t>Resend email / Sentry monitoring</t>
  </si>
  <si>
    <t>Free tiers sufficient at this volume.</t>
  </si>
  <si>
    <t>RM 0</t>
  </si>
  <si>
    <t>Development is done in-house with AI assistance on an existing company subscription, so no incremental cost is attributed to this project. Enter a figure in the Cost Comparison tab if it should be charged here.</t>
  </si>
  <si>
    <t>RM 7 / mth</t>
  </si>
  <si>
    <t>Approximate existing cost, unchanged by this proposal.</t>
  </si>
  <si>
    <t>SCOPE NOTES</t>
  </si>
  <si>
    <t>- All figures are in Malaysian Ringgit. Services priced in US dollars convert at the exchange rate above, so totals move with the rate.</t>
  </si>
  <si>
    <t>- This workbook covers tools and services only - hosting, database, storage and related subscriptions. Internal development effort is deliberately excluded.</t>
  </si>
  <si>
    <t>- Technical findings come from a full review of the source code on 10 August 2026, verified by running the build and dependency tooling.</t>
  </si>
  <si>
    <t>- This workbook is a planning aid. The PDPA data-residency question should be confirmed with a qualified adviser; nothing here is legal advice.</t>
  </si>
  <si>
    <t>- Supabase free plan: commercial use is permitted (no restriction in their terms or pricing page), but it includes no backups and no SLA. Supabase's own documentation advises free-plan users to export their data regularly. Source: supabase.com/pricing ; supabase.com/docs/guides/platform/backups</t>
  </si>
  <si>
    <t>Option D
Malaysia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</si>
</sst>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RM &quot;#,##0;&quot;(RM &quot;#,##0\);\-"/>
    <numFmt numFmtId="165" formatCode="&quot;USD &quot;#,##0.00;&quot;(USD &quot;#,##0.00\);\-"/>
    <numFmt numFmtId="166" formatCode="&quot;RM &quot;#,##0.00;&quot;(RM &quot;#,##0.00\);\-"/>
    <numFmt numFmtId="167" formatCode="#,##0.0&quot; MB&quot;"/>
    <numFmt numFmtId="168" formatCode="0.0%"/>
    <numFmt numFmtId="169" formatCode="#,##0&quot; years&quot;"/>
    <numFmt numFmtId="170" formatCode="0.0"/>
    <numFmt numFmtId="171" formatCode="#,##0.0&quot; GB&quot;"/>
    <numFmt numFmtId="172" formatCode="&quot;RM &quot;#,##0.00"/>
  </numFmts>
  <fonts count="15" x14ac:knownFonts="1">
    <font>
      <sz val="11"/>
      <color theme="1"/>
      <name val="Calibri"/>
      <family val="2"/>
      <charset val="1"/>
    </font>
    <font>
      <b/>
      <sz val="16"/>
      <color rgb="FF1F3864"/>
      <name val="Arial"/>
      <charset val="1"/>
    </font>
    <font>
      <i/>
      <sz val="9"/>
      <color rgb="FF595959"/>
      <name val="Arial"/>
      <charset val="1"/>
    </font>
    <font>
      <b/>
      <sz val="11"/>
      <color rgb="FF1F3864"/>
      <name val="Arial"/>
      <charset val="1"/>
    </font>
    <font>
      <sz val="10"/>
      <color rgb="FF000000"/>
      <name val="Arial"/>
      <charset val="1"/>
    </font>
    <font>
      <b/>
      <sz val="10"/>
      <color rgb="FFFFFFFF"/>
      <name val="Arial"/>
      <charset val="1"/>
    </font>
    <font>
      <b/>
      <sz val="10"/>
      <color rgb="FF000000"/>
      <name val="Arial"/>
      <charset val="1"/>
    </font>
    <font>
      <sz val="10"/>
      <color rgb="FF008000"/>
      <name val="Arial"/>
      <charset val="1"/>
    </font>
    <font>
      <b/>
      <sz val="10"/>
      <color rgb="FF008000"/>
      <name val="Arial"/>
      <charset val="1"/>
    </font>
    <font>
      <b/>
      <sz val="10"/>
      <color rgb="FFC00000"/>
      <name val="Arial"/>
      <charset val="1"/>
    </font>
    <font>
      <b/>
      <sz val="10"/>
      <name val="Arial"/>
      <charset val="1"/>
    </font>
    <font>
      <sz val="10"/>
      <name val="Arial"/>
      <charset val="1"/>
    </font>
    <font>
      <sz val="10"/>
      <color rgb="FF0000FF"/>
      <name val="Arial"/>
      <charset val="1"/>
    </font>
    <font>
      <b/>
      <sz val="12"/>
      <color rgb="FFFFFFFF"/>
      <name val="Arial"/>
      <charset val="1"/>
    </font>
    <font>
      <b/>
      <sz val="10"/>
      <color rgb="FF0000FF"/>
      <name val="Arial"/>
      <charset val="1"/>
    </font>
  </fonts>
  <fills count="10">
    <fill>
      <patternFill patternType="none"/>
    </fill>
    <fill>
      <patternFill patternType="gray125"/>
    </fill>
    <fill>
      <patternFill patternType="solid">
        <fgColor rgb="FFF2F2F2"/>
        <bgColor rgb="FFE2EFDA"/>
      </patternFill>
    </fill>
    <fill>
      <patternFill patternType="solid">
        <fgColor rgb="FF1F3864"/>
        <bgColor rgb="FF333399"/>
      </patternFill>
    </fill>
    <fill>
      <patternFill patternType="solid">
        <fgColor rgb="FFFCE4E4"/>
        <bgColor rgb="FFF2F2F2"/>
      </patternFill>
    </fill>
    <fill>
      <patternFill patternType="solid">
        <fgColor rgb="FFE2EFDA"/>
        <bgColor rgb="FFDDEBF7"/>
      </patternFill>
    </fill>
    <fill>
      <patternFill patternType="solid">
        <fgColor rgb="FFFFF2CC"/>
        <bgColor rgb="FFFCE4E4"/>
      </patternFill>
    </fill>
    <fill>
      <patternFill patternType="solid">
        <fgColor rgb="FF2E5C9A"/>
        <bgColor rgb="FF333399"/>
      </patternFill>
    </fill>
    <fill>
      <patternFill patternType="solid">
        <fgColor rgb="FFDDEBF7"/>
        <bgColor rgb="FFE2EFDA"/>
      </patternFill>
    </fill>
    <fill>
      <patternFill patternType="solid">
        <fgColor rgb="FFFFFF00"/>
        <bgColor rgb="FFFFFF00"/>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404040"/>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80">
    <xf numFmtId="0" fontId="0" fillId="0" borderId="0" xfId="0"/>
    <xf numFmtId="0" fontId="0" fillId="0" borderId="0" xfId="0"/>
    <xf numFmtId="0" fontId="2" fillId="0" borderId="0" xfId="0" applyFont="1" applyAlignment="1">
      <alignment vertical="top" wrapText="1"/>
    </xf>
    <xf numFmtId="0" fontId="6" fillId="8" borderId="1" xfId="0" applyFont="1" applyFill="1" applyBorder="1" applyAlignment="1">
      <alignment vertical="top" wrapText="1"/>
    </xf>
    <xf numFmtId="0" fontId="6" fillId="5" borderId="1" xfId="0" applyFont="1" applyFill="1" applyBorder="1" applyAlignment="1">
      <alignment vertical="top" wrapText="1"/>
    </xf>
    <xf numFmtId="0" fontId="6" fillId="6" borderId="1" xfId="0" applyFont="1" applyFill="1" applyBorder="1" applyAlignment="1">
      <alignment vertical="top" wrapText="1"/>
    </xf>
    <xf numFmtId="0" fontId="4" fillId="0" borderId="1" xfId="0" applyFont="1" applyBorder="1" applyAlignment="1">
      <alignment vertical="top" wrapText="1"/>
    </xf>
    <xf numFmtId="0" fontId="3" fillId="0" borderId="0" xfId="0" applyFont="1"/>
    <xf numFmtId="0" fontId="10" fillId="5" borderId="1" xfId="0" applyFont="1" applyFill="1" applyBorder="1" applyAlignment="1">
      <alignment vertical="top" wrapText="1"/>
    </xf>
    <xf numFmtId="0" fontId="11" fillId="0" borderId="1" xfId="0" applyFont="1" applyBorder="1" applyAlignment="1">
      <alignment vertical="top" wrapText="1"/>
    </xf>
    <xf numFmtId="0" fontId="5" fillId="3" borderId="1" xfId="0" applyFont="1" applyFill="1" applyBorder="1" applyAlignment="1">
      <alignment horizontal="center" vertical="center" wrapText="1"/>
    </xf>
    <xf numFmtId="0" fontId="2" fillId="0" borderId="0" xfId="0" applyFont="1"/>
    <xf numFmtId="0" fontId="4" fillId="0" borderId="0" xfId="0" applyFont="1" applyAlignment="1">
      <alignment vertical="top" wrapText="1"/>
    </xf>
    <xf numFmtId="0" fontId="4" fillId="2" borderId="1" xfId="0" applyFont="1" applyFill="1" applyBorder="1" applyAlignment="1">
      <alignment vertical="top" wrapText="1"/>
    </xf>
    <xf numFmtId="0" fontId="1" fillId="0" borderId="0" xfId="0" applyFont="1"/>
    <xf numFmtId="0" fontId="2" fillId="0" borderId="0" xfId="0" applyFont="1"/>
    <xf numFmtId="0" fontId="3" fillId="0" borderId="0" xfId="0" applyFont="1"/>
    <xf numFmtId="0" fontId="5" fillId="3" borderId="1" xfId="0" applyFont="1" applyFill="1" applyBorder="1" applyAlignment="1">
      <alignment horizontal="center" vertical="center" wrapText="1"/>
    </xf>
    <xf numFmtId="0" fontId="6" fillId="0" borderId="1" xfId="0" applyFont="1" applyBorder="1"/>
    <xf numFmtId="164" fontId="7" fillId="0" borderId="1" xfId="0" applyNumberFormat="1" applyFont="1" applyBorder="1" applyAlignment="1">
      <alignment horizontal="center" vertical="center"/>
    </xf>
    <xf numFmtId="0" fontId="4" fillId="0" borderId="1" xfId="0" applyFont="1" applyBorder="1" applyAlignment="1">
      <alignment vertical="top" wrapText="1"/>
    </xf>
    <xf numFmtId="0" fontId="0" fillId="0" borderId="1" xfId="0" applyBorder="1"/>
    <xf numFmtId="0" fontId="6" fillId="2" borderId="1" xfId="0" applyFont="1" applyFill="1" applyBorder="1"/>
    <xf numFmtId="164" fontId="8" fillId="2" borderId="1" xfId="0" applyNumberFormat="1" applyFont="1" applyFill="1" applyBorder="1" applyAlignment="1">
      <alignment horizontal="center" vertical="center"/>
    </xf>
    <xf numFmtId="0" fontId="4" fillId="0" borderId="1" xfId="0" applyFont="1" applyBorder="1" applyAlignment="1">
      <alignment horizontal="center" vertical="center" wrapText="1"/>
    </xf>
    <xf numFmtId="0" fontId="9" fillId="4" borderId="1" xfId="0" applyFont="1" applyFill="1" applyBorder="1" applyAlignment="1">
      <alignment horizontal="center" vertical="center" wrapText="1"/>
    </xf>
    <xf numFmtId="0" fontId="4" fillId="0" borderId="1" xfId="0" applyFont="1" applyBorder="1" applyAlignment="1">
      <alignment horizontal="center" vertical="center"/>
    </xf>
    <xf numFmtId="0" fontId="8" fillId="5" borderId="1" xfId="0" applyFont="1" applyFill="1" applyBorder="1" applyAlignment="1">
      <alignment horizontal="center" vertical="center"/>
    </xf>
    <xf numFmtId="0" fontId="4" fillId="0" borderId="1" xfId="0" applyFont="1" applyBorder="1"/>
    <xf numFmtId="164" fontId="8" fillId="0" borderId="1" xfId="0" applyNumberFormat="1" applyFont="1" applyBorder="1" applyAlignment="1">
      <alignment horizontal="center" vertical="center"/>
    </xf>
    <xf numFmtId="0" fontId="4" fillId="0" borderId="0" xfId="0" applyFont="1" applyAlignment="1">
      <alignment vertical="top" wrapText="1"/>
    </xf>
    <xf numFmtId="1" fontId="9" fillId="0" borderId="1" xfId="0" applyNumberFormat="1" applyFont="1" applyBorder="1" applyAlignment="1">
      <alignment horizontal="center" vertical="center"/>
    </xf>
    <xf numFmtId="0" fontId="10" fillId="0" borderId="1" xfId="0" applyFont="1" applyBorder="1"/>
    <xf numFmtId="164" fontId="12" fillId="0" borderId="1" xfId="0" applyNumberFormat="1" applyFont="1" applyBorder="1" applyAlignment="1">
      <alignment horizontal="center" vertical="center"/>
    </xf>
    <xf numFmtId="0" fontId="6" fillId="2" borderId="0" xfId="0" applyFont="1" applyFill="1"/>
    <xf numFmtId="164" fontId="6" fillId="2" borderId="2" xfId="0" applyNumberFormat="1" applyFont="1" applyFill="1" applyBorder="1" applyAlignment="1">
      <alignment horizontal="center" vertical="center"/>
    </xf>
    <xf numFmtId="164" fontId="6" fillId="2" borderId="0" xfId="0" applyNumberFormat="1" applyFont="1" applyFill="1" applyAlignment="1">
      <alignment horizontal="center" vertical="center"/>
    </xf>
    <xf numFmtId="0" fontId="4" fillId="0" borderId="0" xfId="0" applyFont="1"/>
    <xf numFmtId="165" fontId="2" fillId="0" borderId="0" xfId="0" applyNumberFormat="1" applyFont="1" applyAlignment="1">
      <alignment horizontal="center" vertical="center"/>
    </xf>
    <xf numFmtId="0" fontId="8" fillId="5" borderId="1" xfId="0" applyFont="1" applyFill="1" applyBorder="1" applyAlignment="1">
      <alignment horizontal="center" vertical="center" wrapText="1"/>
    </xf>
    <xf numFmtId="0" fontId="9" fillId="4" borderId="1" xfId="0" applyFont="1" applyFill="1" applyBorder="1" applyAlignment="1">
      <alignment vertical="top" wrapText="1"/>
    </xf>
    <xf numFmtId="0" fontId="0" fillId="0" borderId="3" xfId="0" applyBorder="1"/>
    <xf numFmtId="0" fontId="0" fillId="0" borderId="4" xfId="0" applyBorder="1"/>
    <xf numFmtId="0" fontId="6" fillId="0" borderId="1" xfId="0" applyFont="1" applyBorder="1" applyAlignment="1">
      <alignment horizontal="center" vertical="center" wrapText="1"/>
    </xf>
    <xf numFmtId="166" fontId="12" fillId="0" borderId="1" xfId="0" applyNumberFormat="1" applyFont="1" applyBorder="1" applyAlignment="1">
      <alignment horizontal="center" vertical="center"/>
    </xf>
    <xf numFmtId="166" fontId="6" fillId="0" borderId="1" xfId="0" applyNumberFormat="1" applyFont="1" applyBorder="1" applyAlignment="1">
      <alignment horizontal="center" vertical="center"/>
    </xf>
    <xf numFmtId="0" fontId="13" fillId="7" borderId="0" xfId="0" applyFont="1" applyFill="1" applyAlignment="1">
      <alignment vertical="center"/>
    </xf>
    <xf numFmtId="0" fontId="0" fillId="7" borderId="0" xfId="0" applyFill="1"/>
    <xf numFmtId="0" fontId="9" fillId="0" borderId="1" xfId="0" applyFont="1" applyBorder="1" applyAlignment="1">
      <alignment vertical="top" wrapText="1"/>
    </xf>
    <xf numFmtId="0" fontId="0" fillId="2" borderId="0" xfId="0" applyFill="1"/>
    <xf numFmtId="166" fontId="6" fillId="2" borderId="2" xfId="0" applyNumberFormat="1" applyFont="1" applyFill="1" applyBorder="1" applyAlignment="1">
      <alignment horizontal="center" vertical="center"/>
    </xf>
    <xf numFmtId="0" fontId="2" fillId="2" borderId="0" xfId="0" applyFont="1" applyFill="1"/>
    <xf numFmtId="3" fontId="14" fillId="9" borderId="1" xfId="0" applyNumberFormat="1" applyFont="1" applyFill="1" applyBorder="1" applyAlignment="1">
      <alignment horizontal="center" vertical="center"/>
    </xf>
    <xf numFmtId="3" fontId="4" fillId="0" borderId="1" xfId="0" applyNumberFormat="1" applyFont="1" applyBorder="1" applyAlignment="1">
      <alignment horizontal="center" vertical="center"/>
    </xf>
    <xf numFmtId="0" fontId="8" fillId="0" borderId="1" xfId="0" applyFont="1" applyBorder="1" applyAlignment="1">
      <alignment horizontal="center" vertical="center"/>
    </xf>
    <xf numFmtId="0" fontId="2" fillId="0" borderId="0" xfId="0" applyFont="1" applyAlignment="1">
      <alignment vertical="top" wrapText="1"/>
    </xf>
    <xf numFmtId="167" fontId="4" fillId="0" borderId="1" xfId="0" applyNumberFormat="1" applyFont="1" applyBorder="1" applyAlignment="1">
      <alignment horizontal="center" vertical="center"/>
    </xf>
    <xf numFmtId="3" fontId="12" fillId="0" borderId="1" xfId="0" applyNumberFormat="1" applyFont="1" applyBorder="1" applyAlignment="1">
      <alignment horizontal="center" vertical="center"/>
    </xf>
    <xf numFmtId="168" fontId="8" fillId="0" borderId="1" xfId="0" applyNumberFormat="1" applyFont="1" applyBorder="1" applyAlignment="1">
      <alignment horizontal="center" vertical="center"/>
    </xf>
    <xf numFmtId="167" fontId="6" fillId="2" borderId="2" xfId="0" applyNumberFormat="1" applyFont="1" applyFill="1" applyBorder="1" applyAlignment="1">
      <alignment horizontal="center" vertical="center"/>
    </xf>
    <xf numFmtId="168" fontId="8" fillId="2" borderId="0" xfId="0" applyNumberFormat="1" applyFont="1" applyFill="1" applyAlignment="1">
      <alignment horizontal="center" vertical="center"/>
    </xf>
    <xf numFmtId="0" fontId="6" fillId="5" borderId="1" xfId="0" applyFont="1" applyFill="1" applyBorder="1"/>
    <xf numFmtId="169" fontId="8" fillId="5" borderId="1" xfId="0" applyNumberFormat="1" applyFont="1" applyFill="1" applyBorder="1" applyAlignment="1">
      <alignment horizontal="center" vertical="center"/>
    </xf>
    <xf numFmtId="170" fontId="14" fillId="9" borderId="1" xfId="0" applyNumberFormat="1" applyFont="1" applyFill="1" applyBorder="1" applyAlignment="1">
      <alignment horizontal="center" vertical="center"/>
    </xf>
    <xf numFmtId="171" fontId="8" fillId="0" borderId="1" xfId="0" applyNumberFormat="1" applyFont="1" applyBorder="1" applyAlignment="1">
      <alignment horizontal="center" vertical="center"/>
    </xf>
    <xf numFmtId="172" fontId="8" fillId="0" borderId="0" xfId="0" applyNumberFormat="1" applyFont="1" applyAlignment="1">
      <alignment horizontal="center" vertical="center"/>
    </xf>
    <xf numFmtId="0" fontId="8" fillId="0" borderId="1" xfId="0" applyFont="1" applyBorder="1" applyAlignment="1">
      <alignment vertical="top" wrapText="1"/>
    </xf>
    <xf numFmtId="0" fontId="4" fillId="5" borderId="1" xfId="0" applyFont="1" applyFill="1" applyBorder="1" applyAlignment="1">
      <alignment vertical="top" wrapText="1"/>
    </xf>
    <xf numFmtId="164" fontId="12" fillId="5" borderId="1" xfId="0" applyNumberFormat="1" applyFont="1" applyFill="1" applyBorder="1" applyAlignment="1">
      <alignment horizontal="center" vertical="center"/>
    </xf>
    <xf numFmtId="0" fontId="12" fillId="0" borderId="1" xfId="0" applyFont="1" applyBorder="1" applyAlignment="1">
      <alignment horizontal="center" vertical="center"/>
    </xf>
    <xf numFmtId="164" fontId="6" fillId="0" borderId="1" xfId="0" applyNumberFormat="1" applyFont="1" applyBorder="1" applyAlignment="1">
      <alignment horizontal="center" vertical="center"/>
    </xf>
    <xf numFmtId="0" fontId="9" fillId="4"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vertical="top" wrapText="1"/>
    </xf>
    <xf numFmtId="0" fontId="9" fillId="6" borderId="1" xfId="0" applyFont="1" applyFill="1" applyBorder="1" applyAlignment="1">
      <alignment horizontal="center" vertical="center"/>
    </xf>
    <xf numFmtId="0" fontId="6" fillId="0" borderId="0" xfId="0" applyFont="1"/>
    <xf numFmtId="2" fontId="14" fillId="9" borderId="1" xfId="0" applyNumberFormat="1" applyFont="1" applyFill="1" applyBorder="1" applyAlignment="1">
      <alignment horizontal="center" vertical="center"/>
    </xf>
    <xf numFmtId="1" fontId="14" fillId="9"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2E5C9A"/>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showGridLines="0" tabSelected="1" zoomScaleNormal="100" workbookViewId="0">
      <pane ySplit="3" topLeftCell="A5" activePane="bottomLeft" state="frozen"/>
      <selection pane="bottomLeft" activeCell="F9" sqref="F9"/>
    </sheetView>
  </sheetViews>
  <sheetFormatPr defaultColWidth="8.6328125" defaultRowHeight="14.5" x14ac:dyDescent="0.35"/>
  <cols>
    <col min="1" max="1" width="3" customWidth="1"/>
    <col min="2" max="2" width="40" customWidth="1"/>
    <col min="3" max="6" width="19" customWidth="1"/>
    <col min="7" max="7" width="44" customWidth="1"/>
  </cols>
  <sheetData>
    <row r="1" spans="1:7" ht="21.75" customHeight="1" x14ac:dyDescent="0.4">
      <c r="A1" s="14" t="s">
        <v>0</v>
      </c>
    </row>
    <row r="2" spans="1:7" ht="15" customHeight="1" x14ac:dyDescent="0.35">
      <c r="A2" s="15" t="s">
        <v>1</v>
      </c>
    </row>
    <row r="4" spans="1:7" ht="15" customHeight="1" x14ac:dyDescent="0.35">
      <c r="B4" s="16" t="s">
        <v>2</v>
      </c>
    </row>
    <row r="5" spans="1:7" ht="174.75" customHeight="1" x14ac:dyDescent="0.35">
      <c r="B5" s="13" t="s">
        <v>3</v>
      </c>
      <c r="C5" s="13"/>
      <c r="D5" s="13"/>
      <c r="E5" s="13"/>
      <c r="F5" s="13"/>
      <c r="G5" s="13"/>
    </row>
    <row r="7" spans="1:7" ht="15" customHeight="1" x14ac:dyDescent="0.35">
      <c r="B7" s="16" t="s">
        <v>4</v>
      </c>
    </row>
    <row r="8" spans="1:7" ht="31.5" customHeight="1" x14ac:dyDescent="0.35">
      <c r="A8" s="17"/>
      <c r="B8" s="17" t="s">
        <v>5</v>
      </c>
      <c r="C8" s="17" t="s">
        <v>6</v>
      </c>
      <c r="D8" s="17" t="s">
        <v>7</v>
      </c>
      <c r="E8" s="17" t="s">
        <v>8</v>
      </c>
      <c r="F8" s="17" t="s">
        <v>606</v>
      </c>
      <c r="G8" s="17" t="s">
        <v>9</v>
      </c>
    </row>
    <row r="9" spans="1:7" ht="23.25" customHeight="1" x14ac:dyDescent="0.35">
      <c r="B9" s="18" t="s">
        <v>10</v>
      </c>
      <c r="C9" s="19">
        <f>'Cost Comparison'!D14</f>
        <v>102</v>
      </c>
      <c r="D9" s="19">
        <f>'Cost Comparison'!E14</f>
        <v>30.75</v>
      </c>
      <c r="E9" s="19">
        <f>'Cost Comparison'!F14</f>
        <v>64</v>
      </c>
      <c r="F9" s="19">
        <f>'Cost Comparison'!G14</f>
        <v>92</v>
      </c>
      <c r="G9" s="20" t="s">
        <v>11</v>
      </c>
    </row>
    <row r="10" spans="1:7" ht="15" customHeight="1" x14ac:dyDescent="0.35">
      <c r="B10" s="18" t="s">
        <v>12</v>
      </c>
      <c r="C10" s="19">
        <f>'Cost Comparison'!G15</f>
        <v>1104</v>
      </c>
      <c r="D10" s="19">
        <f>'Cost Comparison'!E15</f>
        <v>369</v>
      </c>
      <c r="E10" s="19">
        <f>'Cost Comparison'!F15</f>
        <v>768</v>
      </c>
      <c r="F10" s="19">
        <f>'Cost Comparison'!G15</f>
        <v>1104</v>
      </c>
      <c r="G10" s="21"/>
    </row>
    <row r="11" spans="1:7" ht="23.25" customHeight="1" x14ac:dyDescent="0.35">
      <c r="B11" s="22" t="s">
        <v>13</v>
      </c>
      <c r="C11" s="23">
        <f>'Cost Comparison'!D16</f>
        <v>3672</v>
      </c>
      <c r="D11" s="23">
        <f>'Cost Comparison'!E16</f>
        <v>1107</v>
      </c>
      <c r="E11" s="23">
        <f>'Cost Comparison'!F16</f>
        <v>2304</v>
      </c>
      <c r="F11" s="23">
        <f>'Cost Comparison'!G16</f>
        <v>3312</v>
      </c>
      <c r="G11" s="20" t="s">
        <v>14</v>
      </c>
    </row>
    <row r="12" spans="1:7" ht="15" customHeight="1" x14ac:dyDescent="0.35">
      <c r="B12" s="18" t="s">
        <v>15</v>
      </c>
      <c r="C12" s="24" t="s">
        <v>16</v>
      </c>
      <c r="D12" s="24" t="s">
        <v>17</v>
      </c>
      <c r="E12" s="25" t="s">
        <v>18</v>
      </c>
      <c r="F12" s="25" t="s">
        <v>18</v>
      </c>
      <c r="G12" s="20" t="s">
        <v>19</v>
      </c>
    </row>
    <row r="13" spans="1:7" ht="15" customHeight="1" x14ac:dyDescent="0.35">
      <c r="B13" s="18" t="s">
        <v>20</v>
      </c>
      <c r="C13" s="26" t="s">
        <v>21</v>
      </c>
      <c r="D13" s="26" t="s">
        <v>21</v>
      </c>
      <c r="E13" s="26" t="s">
        <v>21</v>
      </c>
      <c r="F13" s="27" t="s">
        <v>22</v>
      </c>
      <c r="G13" s="28" t="s">
        <v>23</v>
      </c>
    </row>
    <row r="15" spans="1:7" ht="15" customHeight="1" x14ac:dyDescent="0.35">
      <c r="B15" s="16" t="s">
        <v>24</v>
      </c>
    </row>
    <row r="16" spans="1:7" ht="31.5" customHeight="1" x14ac:dyDescent="0.35">
      <c r="A16" s="17"/>
      <c r="B16" s="17" t="s">
        <v>25</v>
      </c>
      <c r="C16" s="17" t="s">
        <v>26</v>
      </c>
      <c r="D16" s="17"/>
      <c r="E16" s="17"/>
      <c r="F16" s="17"/>
      <c r="G16" s="17"/>
    </row>
    <row r="17" spans="2:7" ht="15" customHeight="1" x14ac:dyDescent="0.35">
      <c r="B17" s="18" t="s">
        <v>27</v>
      </c>
      <c r="C17" s="29">
        <f>'Cost Comparison'!G14</f>
        <v>92</v>
      </c>
      <c r="D17" s="12" t="s">
        <v>28</v>
      </c>
      <c r="E17" s="12"/>
      <c r="F17" s="12"/>
      <c r="G17" s="12"/>
    </row>
    <row r="18" spans="2:7" ht="15" customHeight="1" x14ac:dyDescent="0.35">
      <c r="B18" s="18" t="s">
        <v>29</v>
      </c>
      <c r="C18" s="29">
        <f>'Cost Comparison'!G15</f>
        <v>1104</v>
      </c>
      <c r="D18" s="12" t="s">
        <v>30</v>
      </c>
      <c r="E18" s="12"/>
      <c r="F18" s="12"/>
      <c r="G18" s="12"/>
    </row>
    <row r="19" spans="2:7" ht="15" customHeight="1" x14ac:dyDescent="0.35">
      <c r="B19" s="18" t="s">
        <v>13</v>
      </c>
      <c r="C19" s="29">
        <f>'Cost Comparison'!G16</f>
        <v>3312</v>
      </c>
      <c r="D19" s="12" t="s">
        <v>31</v>
      </c>
      <c r="E19" s="12"/>
      <c r="F19" s="12"/>
      <c r="G19" s="12"/>
    </row>
    <row r="20" spans="2:7" ht="15" customHeight="1" x14ac:dyDescent="0.35">
      <c r="B20" s="18" t="s">
        <v>32</v>
      </c>
      <c r="C20" s="29">
        <f>'Cost Comparison'!D15*0</f>
        <v>0</v>
      </c>
      <c r="D20" s="12" t="s">
        <v>33</v>
      </c>
      <c r="E20" s="12"/>
      <c r="F20" s="12"/>
      <c r="G20" s="12"/>
    </row>
    <row r="21" spans="2:7" ht="15" customHeight="1" x14ac:dyDescent="0.35">
      <c r="B21" s="18" t="s">
        <v>34</v>
      </c>
      <c r="C21" s="31">
        <f>'Risks &amp; Findings'!$D$20</f>
        <v>7</v>
      </c>
      <c r="D21" s="12" t="s">
        <v>35</v>
      </c>
      <c r="E21" s="12"/>
      <c r="F21" s="12"/>
      <c r="G21" s="12"/>
    </row>
    <row r="23" spans="2:7" ht="15" customHeight="1" x14ac:dyDescent="0.35">
      <c r="B23" s="16" t="s">
        <v>36</v>
      </c>
    </row>
    <row r="24" spans="2:7" ht="31.5" customHeight="1" x14ac:dyDescent="0.35">
      <c r="B24" s="12" t="s">
        <v>37</v>
      </c>
      <c r="C24" s="12"/>
      <c r="D24" s="12"/>
      <c r="E24" s="12"/>
      <c r="F24" s="12"/>
      <c r="G24" s="12"/>
    </row>
    <row r="25" spans="2:7" ht="31.5" customHeight="1" x14ac:dyDescent="0.35">
      <c r="B25" s="12" t="s">
        <v>38</v>
      </c>
      <c r="C25" s="12"/>
      <c r="D25" s="12"/>
      <c r="E25" s="12"/>
      <c r="F25" s="12"/>
      <c r="G25" s="12"/>
    </row>
    <row r="26" spans="2:7" ht="31.5" customHeight="1" x14ac:dyDescent="0.35">
      <c r="B26" s="12" t="s">
        <v>39</v>
      </c>
      <c r="C26" s="12"/>
      <c r="D26" s="12"/>
      <c r="E26" s="12"/>
      <c r="F26" s="12"/>
      <c r="G26" s="12"/>
    </row>
    <row r="27" spans="2:7" ht="31.5" customHeight="1" x14ac:dyDescent="0.35">
      <c r="B27" s="12" t="s">
        <v>40</v>
      </c>
      <c r="C27" s="12"/>
      <c r="D27" s="12"/>
      <c r="E27" s="12"/>
      <c r="F27" s="12"/>
      <c r="G27" s="12"/>
    </row>
    <row r="28" spans="2:7" ht="31.5" customHeight="1" x14ac:dyDescent="0.35">
      <c r="B28" s="12" t="s">
        <v>41</v>
      </c>
      <c r="C28" s="12"/>
      <c r="D28" s="12"/>
      <c r="E28" s="12"/>
      <c r="F28" s="12"/>
      <c r="G28" s="12"/>
    </row>
    <row r="29" spans="2:7" ht="31.5" customHeight="1" x14ac:dyDescent="0.35">
      <c r="B29" s="12" t="s">
        <v>42</v>
      </c>
      <c r="C29" s="12"/>
      <c r="D29" s="12"/>
      <c r="E29" s="12"/>
      <c r="F29" s="12"/>
      <c r="G29" s="12"/>
    </row>
    <row r="31" spans="2:7" ht="15" customHeight="1" x14ac:dyDescent="0.35">
      <c r="B31" s="11" t="s">
        <v>43</v>
      </c>
      <c r="C31" s="11"/>
      <c r="D31" s="11"/>
      <c r="E31" s="11"/>
      <c r="F31" s="11"/>
      <c r="G31" s="11"/>
    </row>
    <row r="33" spans="1:7" x14ac:dyDescent="0.35">
      <c r="B33" s="16" t="s">
        <v>44</v>
      </c>
    </row>
    <row r="34" spans="1:7" ht="15" customHeight="1" x14ac:dyDescent="0.35">
      <c r="A34" s="17"/>
      <c r="B34" s="17" t="s">
        <v>45</v>
      </c>
      <c r="C34" s="10" t="s">
        <v>46</v>
      </c>
      <c r="D34" s="10"/>
      <c r="E34" s="10"/>
      <c r="F34" s="10"/>
      <c r="G34" s="10"/>
    </row>
    <row r="35" spans="1:7" ht="30" customHeight="1" x14ac:dyDescent="0.35">
      <c r="B35" s="32" t="s">
        <v>47</v>
      </c>
      <c r="C35" s="9" t="s">
        <v>48</v>
      </c>
      <c r="D35" s="9"/>
      <c r="E35" s="9"/>
      <c r="F35" s="9"/>
      <c r="G35" s="9"/>
    </row>
    <row r="36" spans="1:7" ht="30" customHeight="1" x14ac:dyDescent="0.35">
      <c r="B36" s="32" t="s">
        <v>49</v>
      </c>
      <c r="C36" s="9" t="s">
        <v>50</v>
      </c>
      <c r="D36" s="9"/>
      <c r="E36" s="9"/>
      <c r="F36" s="9"/>
      <c r="G36" s="9"/>
    </row>
    <row r="37" spans="1:7" ht="30" customHeight="1" x14ac:dyDescent="0.35">
      <c r="B37" s="32" t="s">
        <v>51</v>
      </c>
      <c r="C37" s="9" t="s">
        <v>52</v>
      </c>
      <c r="D37" s="9"/>
      <c r="E37" s="9"/>
      <c r="F37" s="9"/>
      <c r="G37" s="9"/>
    </row>
    <row r="38" spans="1:7" ht="30" customHeight="1" x14ac:dyDescent="0.35">
      <c r="B38" s="32" t="s">
        <v>53</v>
      </c>
      <c r="C38" s="9" t="s">
        <v>54</v>
      </c>
      <c r="D38" s="9"/>
      <c r="E38" s="9"/>
      <c r="F38" s="9"/>
      <c r="G38" s="9"/>
    </row>
    <row r="39" spans="1:7" ht="30" customHeight="1" x14ac:dyDescent="0.35">
      <c r="B39" s="32" t="s">
        <v>55</v>
      </c>
      <c r="C39" s="9" t="s">
        <v>56</v>
      </c>
      <c r="D39" s="9"/>
      <c r="E39" s="9"/>
      <c r="F39" s="9"/>
      <c r="G39" s="9"/>
    </row>
    <row r="40" spans="1:7" ht="30" customHeight="1" x14ac:dyDescent="0.35">
      <c r="B40" s="32" t="s">
        <v>57</v>
      </c>
      <c r="C40" s="9" t="s">
        <v>58</v>
      </c>
      <c r="D40" s="9"/>
      <c r="E40" s="9"/>
      <c r="F40" s="9"/>
      <c r="G40" s="9"/>
    </row>
    <row r="41" spans="1:7" ht="45.75" customHeight="1" x14ac:dyDescent="0.35">
      <c r="B41" s="8" t="s">
        <v>59</v>
      </c>
      <c r="C41" s="8"/>
      <c r="D41" s="8"/>
      <c r="E41" s="8"/>
      <c r="F41" s="8"/>
      <c r="G41" s="8"/>
    </row>
  </sheetData>
  <mergeCells count="21">
    <mergeCell ref="B41:G41"/>
    <mergeCell ref="C36:G36"/>
    <mergeCell ref="C37:G37"/>
    <mergeCell ref="C38:G38"/>
    <mergeCell ref="C39:G39"/>
    <mergeCell ref="C40:G40"/>
    <mergeCell ref="B28:G28"/>
    <mergeCell ref="B29:G29"/>
    <mergeCell ref="B31:G31"/>
    <mergeCell ref="C34:G34"/>
    <mergeCell ref="C35:G35"/>
    <mergeCell ref="D21:G21"/>
    <mergeCell ref="B24:G24"/>
    <mergeCell ref="B25:G25"/>
    <mergeCell ref="B26:G26"/>
    <mergeCell ref="B27:G27"/>
    <mergeCell ref="B5:G5"/>
    <mergeCell ref="D17:G17"/>
    <mergeCell ref="D18:G18"/>
    <mergeCell ref="D19:G19"/>
    <mergeCell ref="D20:G2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9"/>
  <sheetViews>
    <sheetView showGridLines="0" zoomScaleNormal="100" workbookViewId="0">
      <pane ySplit="3" topLeftCell="A4" activePane="bottomLeft" state="frozen"/>
      <selection pane="bottomLeft"/>
    </sheetView>
  </sheetViews>
  <sheetFormatPr defaultColWidth="8.6328125" defaultRowHeight="14.5" x14ac:dyDescent="0.35"/>
  <cols>
    <col min="1" max="1" width="3" customWidth="1"/>
    <col min="2" max="2" width="30" customWidth="1"/>
    <col min="3" max="3" width="20" customWidth="1"/>
    <col min="4" max="4" width="21" customWidth="1"/>
    <col min="5" max="6" width="20" customWidth="1"/>
    <col min="7" max="7" width="21" customWidth="1"/>
    <col min="8" max="8" width="47" customWidth="1"/>
  </cols>
  <sheetData>
    <row r="1" spans="1:8" ht="21.75" customHeight="1" x14ac:dyDescent="0.4">
      <c r="A1" s="14" t="s">
        <v>60</v>
      </c>
    </row>
    <row r="2" spans="1:8" ht="15" customHeight="1" x14ac:dyDescent="0.35">
      <c r="A2" s="15" t="s">
        <v>61</v>
      </c>
    </row>
    <row r="4" spans="1:8" ht="31.5" customHeight="1" x14ac:dyDescent="0.35">
      <c r="A4" s="17"/>
      <c r="B4" s="17" t="s">
        <v>62</v>
      </c>
      <c r="C4" s="17" t="s">
        <v>63</v>
      </c>
      <c r="D4" s="17" t="s">
        <v>6</v>
      </c>
      <c r="E4" s="17" t="s">
        <v>7</v>
      </c>
      <c r="F4" s="17" t="s">
        <v>64</v>
      </c>
      <c r="G4" s="17" t="s">
        <v>65</v>
      </c>
      <c r="H4" s="17" t="s">
        <v>66</v>
      </c>
    </row>
    <row r="5" spans="1:8" ht="33.75" customHeight="1" x14ac:dyDescent="0.35">
      <c r="B5" s="18" t="s">
        <v>67</v>
      </c>
      <c r="C5" s="33">
        <v>0</v>
      </c>
      <c r="D5" s="33">
        <v>0</v>
      </c>
      <c r="E5" s="33">
        <v>0</v>
      </c>
      <c r="F5" s="33">
        <v>0</v>
      </c>
      <c r="G5" s="33">
        <v>0</v>
      </c>
      <c r="H5" s="20" t="s">
        <v>68</v>
      </c>
    </row>
    <row r="6" spans="1:8" ht="33.75" customHeight="1" x14ac:dyDescent="0.35">
      <c r="B6" s="18" t="s">
        <v>69</v>
      </c>
      <c r="C6" s="33">
        <v>0</v>
      </c>
      <c r="D6" s="33">
        <f>20*'Assumptions &amp; Sources'!$C$6</f>
        <v>95</v>
      </c>
      <c r="E6" s="33">
        <f>5*'Assumptions &amp; Sources'!$C$6</f>
        <v>23.75</v>
      </c>
      <c r="F6" s="33">
        <f>12*'Assumptions &amp; Sources'!$C$6</f>
        <v>57</v>
      </c>
      <c r="G6" s="33">
        <v>60</v>
      </c>
      <c r="H6" s="20" t="s">
        <v>70</v>
      </c>
    </row>
    <row r="7" spans="1:8" ht="33.75" customHeight="1" x14ac:dyDescent="0.35">
      <c r="B7" s="18" t="s">
        <v>71</v>
      </c>
      <c r="C7" s="33">
        <v>0</v>
      </c>
      <c r="D7" s="33">
        <v>0</v>
      </c>
      <c r="E7" s="33">
        <v>0</v>
      </c>
      <c r="F7" s="33">
        <v>0</v>
      </c>
      <c r="G7" s="33">
        <v>0</v>
      </c>
      <c r="H7" s="20" t="s">
        <v>72</v>
      </c>
    </row>
    <row r="8" spans="1:8" ht="33.75" customHeight="1" x14ac:dyDescent="0.35">
      <c r="B8" s="18" t="s">
        <v>73</v>
      </c>
      <c r="C8" s="33">
        <v>0</v>
      </c>
      <c r="D8" s="33">
        <v>0</v>
      </c>
      <c r="E8" s="33">
        <v>0</v>
      </c>
      <c r="F8" s="33">
        <v>0</v>
      </c>
      <c r="G8" s="33">
        <v>0</v>
      </c>
      <c r="H8" s="20" t="s">
        <v>74</v>
      </c>
    </row>
    <row r="9" spans="1:8" ht="33.75" customHeight="1" x14ac:dyDescent="0.35">
      <c r="B9" s="18" t="s">
        <v>75</v>
      </c>
      <c r="C9" s="33">
        <v>0</v>
      </c>
      <c r="D9" s="33">
        <v>0</v>
      </c>
      <c r="E9" s="33">
        <v>0</v>
      </c>
      <c r="F9" s="33">
        <v>0</v>
      </c>
      <c r="G9" s="33">
        <v>25</v>
      </c>
      <c r="H9" s="20" t="s">
        <v>76</v>
      </c>
    </row>
    <row r="10" spans="1:8" ht="33.75" customHeight="1" x14ac:dyDescent="0.35">
      <c r="B10" s="18" t="s">
        <v>77</v>
      </c>
      <c r="C10" s="33">
        <v>0</v>
      </c>
      <c r="D10" s="33">
        <v>0</v>
      </c>
      <c r="E10" s="33">
        <v>0</v>
      </c>
      <c r="F10" s="33">
        <v>0</v>
      </c>
      <c r="G10" s="33">
        <v>0</v>
      </c>
      <c r="H10" s="20" t="s">
        <v>78</v>
      </c>
    </row>
    <row r="11" spans="1:8" ht="33.75" customHeight="1" x14ac:dyDescent="0.35">
      <c r="B11" s="18" t="s">
        <v>79</v>
      </c>
      <c r="C11" s="33">
        <v>0</v>
      </c>
      <c r="D11" s="33">
        <v>0</v>
      </c>
      <c r="E11" s="33">
        <v>0</v>
      </c>
      <c r="F11" s="33">
        <v>0</v>
      </c>
      <c r="G11" s="33">
        <v>0</v>
      </c>
      <c r="H11" s="20" t="s">
        <v>80</v>
      </c>
    </row>
    <row r="12" spans="1:8" ht="33.75" customHeight="1" x14ac:dyDescent="0.35">
      <c r="B12" s="18" t="s">
        <v>81</v>
      </c>
      <c r="C12" s="33">
        <v>0</v>
      </c>
      <c r="D12" s="33">
        <v>0</v>
      </c>
      <c r="E12" s="33">
        <v>0</v>
      </c>
      <c r="F12" s="33">
        <v>0</v>
      </c>
      <c r="G12" s="33">
        <v>0</v>
      </c>
      <c r="H12" s="20" t="s">
        <v>82</v>
      </c>
    </row>
    <row r="13" spans="1:8" ht="33.75" customHeight="1" x14ac:dyDescent="0.35">
      <c r="B13" s="18" t="s">
        <v>83</v>
      </c>
      <c r="C13" s="33">
        <v>7</v>
      </c>
      <c r="D13" s="33">
        <v>7</v>
      </c>
      <c r="E13" s="33">
        <v>7</v>
      </c>
      <c r="F13" s="33">
        <v>7</v>
      </c>
      <c r="G13" s="33">
        <v>7</v>
      </c>
      <c r="H13" s="20" t="s">
        <v>84</v>
      </c>
    </row>
    <row r="14" spans="1:8" ht="15" customHeight="1" x14ac:dyDescent="0.35">
      <c r="B14" s="34" t="s">
        <v>85</v>
      </c>
      <c r="C14" s="35">
        <f>SUM(C5:C13)</f>
        <v>7</v>
      </c>
      <c r="D14" s="35">
        <f>SUM(D5:D13)</f>
        <v>102</v>
      </c>
      <c r="E14" s="35">
        <f>SUM(E5:E13)</f>
        <v>30.75</v>
      </c>
      <c r="F14" s="35">
        <f>SUM(F5:F13)</f>
        <v>64</v>
      </c>
      <c r="G14" s="35">
        <f>SUM(G5:G13)</f>
        <v>92</v>
      </c>
    </row>
    <row r="15" spans="1:8" ht="15" customHeight="1" x14ac:dyDescent="0.35">
      <c r="B15" s="34" t="s">
        <v>86</v>
      </c>
      <c r="C15" s="36">
        <f>C14*12</f>
        <v>84</v>
      </c>
      <c r="D15" s="36">
        <f>D14*12</f>
        <v>1224</v>
      </c>
      <c r="E15" s="36">
        <f>E14*12</f>
        <v>369</v>
      </c>
      <c r="F15" s="36">
        <f>F14*12</f>
        <v>768</v>
      </c>
      <c r="G15" s="36">
        <f>G14*12</f>
        <v>1104</v>
      </c>
    </row>
    <row r="16" spans="1:8" ht="15" customHeight="1" x14ac:dyDescent="0.35">
      <c r="B16" s="34" t="s">
        <v>87</v>
      </c>
      <c r="C16" s="36">
        <f>C15*3</f>
        <v>252</v>
      </c>
      <c r="D16" s="36">
        <f>D15*3</f>
        <v>3672</v>
      </c>
      <c r="E16" s="36">
        <f>E15*3</f>
        <v>1107</v>
      </c>
      <c r="F16" s="36">
        <f>F15*3</f>
        <v>2304</v>
      </c>
      <c r="G16" s="36">
        <f>G15*3</f>
        <v>3312</v>
      </c>
    </row>
    <row r="17" spans="1:8" ht="15" customHeight="1" x14ac:dyDescent="0.35">
      <c r="B17" s="37" t="s">
        <v>88</v>
      </c>
      <c r="C17" s="38">
        <f>C14/'Assumptions &amp; Sources'!$C$6</f>
        <v>1.4736842105263157</v>
      </c>
      <c r="D17" s="38">
        <f>D14/'Assumptions &amp; Sources'!$C$6</f>
        <v>21.473684210526315</v>
      </c>
      <c r="E17" s="38">
        <f>E14/'Assumptions &amp; Sources'!$C$6</f>
        <v>6.4736842105263159</v>
      </c>
      <c r="F17" s="38">
        <f>F14/'Assumptions &amp; Sources'!$C$6</f>
        <v>13.473684210526315</v>
      </c>
      <c r="G17" s="38">
        <f>G14/'Assumptions &amp; Sources'!$C$6</f>
        <v>19.368421052631579</v>
      </c>
    </row>
    <row r="19" spans="1:8" ht="15" customHeight="1" x14ac:dyDescent="0.35">
      <c r="B19" s="16" t="s">
        <v>89</v>
      </c>
    </row>
    <row r="20" spans="1:8" ht="31.5" customHeight="1" x14ac:dyDescent="0.35">
      <c r="A20" s="17"/>
      <c r="B20" s="17" t="s">
        <v>90</v>
      </c>
      <c r="C20" s="17" t="s">
        <v>91</v>
      </c>
      <c r="D20" s="17" t="s">
        <v>92</v>
      </c>
      <c r="E20" s="17" t="s">
        <v>93</v>
      </c>
      <c r="F20" s="17" t="s">
        <v>94</v>
      </c>
      <c r="G20" s="17" t="s">
        <v>95</v>
      </c>
      <c r="H20" s="17"/>
    </row>
    <row r="21" spans="1:8" ht="25.5" customHeight="1" x14ac:dyDescent="0.35">
      <c r="B21" s="18" t="s">
        <v>96</v>
      </c>
      <c r="C21" s="25" t="s">
        <v>97</v>
      </c>
      <c r="D21" s="24" t="s">
        <v>98</v>
      </c>
      <c r="E21" s="24" t="s">
        <v>98</v>
      </c>
      <c r="F21" s="24" t="s">
        <v>98</v>
      </c>
      <c r="G21" s="24" t="s">
        <v>98</v>
      </c>
    </row>
    <row r="22" spans="1:8" ht="25.5" customHeight="1" x14ac:dyDescent="0.35">
      <c r="B22" s="18" t="s">
        <v>99</v>
      </c>
      <c r="C22" s="25" t="s">
        <v>100</v>
      </c>
      <c r="D22" s="24" t="s">
        <v>21</v>
      </c>
      <c r="E22" s="24" t="s">
        <v>21</v>
      </c>
      <c r="F22" s="24" t="s">
        <v>21</v>
      </c>
      <c r="G22" s="39" t="s">
        <v>22</v>
      </c>
    </row>
    <row r="23" spans="1:8" ht="25.5" customHeight="1" x14ac:dyDescent="0.35">
      <c r="B23" s="18" t="s">
        <v>101</v>
      </c>
      <c r="C23" s="24" t="s">
        <v>102</v>
      </c>
      <c r="D23" s="24" t="s">
        <v>103</v>
      </c>
      <c r="E23" s="24" t="s">
        <v>103</v>
      </c>
      <c r="F23" s="25" t="s">
        <v>18</v>
      </c>
      <c r="G23" s="25" t="s">
        <v>18</v>
      </c>
    </row>
    <row r="24" spans="1:8" ht="25.5" customHeight="1" x14ac:dyDescent="0.35">
      <c r="B24" s="18" t="s">
        <v>104</v>
      </c>
      <c r="C24" s="24" t="s">
        <v>102</v>
      </c>
      <c r="D24" s="24" t="s">
        <v>103</v>
      </c>
      <c r="E24" s="24" t="s">
        <v>103</v>
      </c>
      <c r="F24" s="25" t="s">
        <v>18</v>
      </c>
      <c r="G24" s="25" t="s">
        <v>18</v>
      </c>
    </row>
    <row r="25" spans="1:8" ht="25.5" customHeight="1" x14ac:dyDescent="0.35">
      <c r="B25" s="18" t="s">
        <v>105</v>
      </c>
      <c r="C25" s="24" t="s">
        <v>106</v>
      </c>
      <c r="D25" s="24" t="s">
        <v>106</v>
      </c>
      <c r="E25" s="24" t="s">
        <v>107</v>
      </c>
      <c r="F25" s="25" t="s">
        <v>18</v>
      </c>
      <c r="G25" s="25" t="s">
        <v>18</v>
      </c>
    </row>
    <row r="26" spans="1:8" ht="25.5" customHeight="1" x14ac:dyDescent="0.35">
      <c r="B26" s="18" t="s">
        <v>108</v>
      </c>
      <c r="C26" s="24" t="s">
        <v>109</v>
      </c>
      <c r="D26" s="24" t="s">
        <v>109</v>
      </c>
      <c r="E26" s="24" t="s">
        <v>109</v>
      </c>
      <c r="F26" s="24" t="s">
        <v>109</v>
      </c>
      <c r="G26" s="39" t="s">
        <v>110</v>
      </c>
    </row>
    <row r="27" spans="1:8" ht="25.5" customHeight="1" x14ac:dyDescent="0.35"/>
    <row r="28" spans="1:8" ht="124.5" customHeight="1" x14ac:dyDescent="0.35">
      <c r="B28" s="40" t="s">
        <v>111</v>
      </c>
      <c r="C28" s="41"/>
      <c r="D28" s="41"/>
      <c r="E28" s="41"/>
      <c r="F28" s="41"/>
      <c r="G28" s="41"/>
      <c r="H28" s="42"/>
    </row>
    <row r="29" spans="1:8" ht="49.5" customHeight="1" x14ac:dyDescent="0.35">
      <c r="B29" s="7" t="s">
        <v>112</v>
      </c>
      <c r="C29" s="7"/>
      <c r="D29" s="7"/>
      <c r="E29" s="7"/>
      <c r="F29" s="7"/>
      <c r="G29" s="7"/>
      <c r="H29" s="7"/>
    </row>
    <row r="30" spans="1:8" ht="23.25" customHeight="1" x14ac:dyDescent="0.35">
      <c r="A30" s="17"/>
      <c r="B30" s="17" t="s">
        <v>113</v>
      </c>
      <c r="C30" s="17" t="s">
        <v>114</v>
      </c>
      <c r="D30" s="17" t="s">
        <v>115</v>
      </c>
      <c r="E30" s="17" t="s">
        <v>116</v>
      </c>
    </row>
    <row r="31" spans="1:8" ht="31.5" customHeight="1" x14ac:dyDescent="0.35">
      <c r="B31" s="18" t="s">
        <v>117</v>
      </c>
      <c r="C31" s="43" t="s">
        <v>102</v>
      </c>
      <c r="D31" s="24" t="s">
        <v>118</v>
      </c>
      <c r="E31" s="6" t="s">
        <v>119</v>
      </c>
      <c r="F31" s="6"/>
      <c r="G31" s="6"/>
      <c r="H31" s="6"/>
    </row>
    <row r="32" spans="1:8" ht="31.5" customHeight="1" x14ac:dyDescent="0.35">
      <c r="B32" s="18" t="s">
        <v>120</v>
      </c>
      <c r="C32" s="43" t="s">
        <v>121</v>
      </c>
      <c r="D32" s="24" t="s">
        <v>118</v>
      </c>
      <c r="E32" s="6" t="s">
        <v>122</v>
      </c>
      <c r="F32" s="6"/>
      <c r="G32" s="6"/>
      <c r="H32" s="6"/>
    </row>
    <row r="33" spans="1:8" ht="31.5" customHeight="1" x14ac:dyDescent="0.35">
      <c r="B33" s="18" t="s">
        <v>123</v>
      </c>
      <c r="C33" s="43" t="s">
        <v>124</v>
      </c>
      <c r="D33" s="24" t="s">
        <v>118</v>
      </c>
      <c r="E33" s="6" t="s">
        <v>125</v>
      </c>
      <c r="F33" s="6"/>
      <c r="G33" s="6"/>
      <c r="H33" s="6"/>
    </row>
    <row r="34" spans="1:8" ht="31.5" customHeight="1" x14ac:dyDescent="0.35">
      <c r="B34" s="18" t="s">
        <v>126</v>
      </c>
      <c r="C34" s="43" t="s">
        <v>103</v>
      </c>
      <c r="D34" s="24" t="s">
        <v>127</v>
      </c>
      <c r="E34" s="6" t="s">
        <v>128</v>
      </c>
      <c r="F34" s="6"/>
      <c r="G34" s="6"/>
      <c r="H34" s="6"/>
    </row>
    <row r="35" spans="1:8" ht="31.5" customHeight="1" x14ac:dyDescent="0.35">
      <c r="B35" s="18" t="s">
        <v>129</v>
      </c>
      <c r="C35" s="43" t="s">
        <v>130</v>
      </c>
      <c r="D35" s="24" t="s">
        <v>131</v>
      </c>
      <c r="E35" s="6" t="s">
        <v>132</v>
      </c>
      <c r="F35" s="6"/>
      <c r="G35" s="6"/>
      <c r="H35" s="6"/>
    </row>
    <row r="36" spans="1:8" ht="31.5" customHeight="1" x14ac:dyDescent="0.35">
      <c r="B36" s="18" t="s">
        <v>133</v>
      </c>
      <c r="C36" s="43" t="s">
        <v>107</v>
      </c>
      <c r="D36" s="24" t="s">
        <v>131</v>
      </c>
      <c r="E36" s="6" t="s">
        <v>134</v>
      </c>
      <c r="F36" s="6"/>
      <c r="G36" s="6"/>
      <c r="H36" s="6"/>
    </row>
    <row r="37" spans="1:8" ht="31.5" customHeight="1" x14ac:dyDescent="0.35">
      <c r="B37" s="18" t="s">
        <v>135</v>
      </c>
      <c r="C37" s="43" t="s">
        <v>136</v>
      </c>
      <c r="D37" s="24" t="s">
        <v>21</v>
      </c>
      <c r="E37" s="6" t="s">
        <v>137</v>
      </c>
      <c r="F37" s="6"/>
      <c r="G37" s="6"/>
      <c r="H37" s="6"/>
    </row>
    <row r="38" spans="1:8" ht="31.5" customHeight="1" x14ac:dyDescent="0.35">
      <c r="B38" s="18" t="s">
        <v>138</v>
      </c>
      <c r="C38" s="43" t="s">
        <v>139</v>
      </c>
      <c r="D38" s="24" t="s">
        <v>140</v>
      </c>
      <c r="E38" s="6" t="s">
        <v>141</v>
      </c>
      <c r="F38" s="6"/>
      <c r="G38" s="6"/>
      <c r="H38" s="6"/>
    </row>
    <row r="39" spans="1:8" ht="31.5" customHeight="1" x14ac:dyDescent="0.35">
      <c r="B39" s="18" t="s">
        <v>142</v>
      </c>
      <c r="C39" s="43" t="s">
        <v>143</v>
      </c>
      <c r="D39" s="24" t="s">
        <v>131</v>
      </c>
      <c r="E39" s="6" t="s">
        <v>144</v>
      </c>
      <c r="F39" s="6"/>
      <c r="G39" s="6"/>
      <c r="H39" s="6"/>
    </row>
    <row r="40" spans="1:8" ht="31.5" customHeight="1" x14ac:dyDescent="0.35">
      <c r="B40" s="18" t="s">
        <v>145</v>
      </c>
      <c r="C40" s="43" t="s">
        <v>146</v>
      </c>
      <c r="D40" s="24" t="s">
        <v>118</v>
      </c>
      <c r="E40" s="6" t="s">
        <v>147</v>
      </c>
      <c r="F40" s="6"/>
      <c r="G40" s="6"/>
      <c r="H40" s="6"/>
    </row>
    <row r="42" spans="1:8" ht="57.75" customHeight="1" x14ac:dyDescent="0.35">
      <c r="B42" s="5" t="s">
        <v>148</v>
      </c>
      <c r="C42" s="5"/>
      <c r="D42" s="5"/>
      <c r="E42" s="5"/>
      <c r="F42" s="5"/>
      <c r="G42" s="5"/>
      <c r="H42" s="5"/>
    </row>
    <row r="45" spans="1:8" ht="15" customHeight="1" x14ac:dyDescent="0.35">
      <c r="B45" s="16" t="s">
        <v>149</v>
      </c>
    </row>
    <row r="46" spans="1:8" ht="15" customHeight="1" x14ac:dyDescent="0.35">
      <c r="A46" s="17"/>
      <c r="B46" s="17" t="s">
        <v>150</v>
      </c>
      <c r="C46" s="10" t="s">
        <v>151</v>
      </c>
      <c r="D46" s="10"/>
      <c r="E46" s="10"/>
      <c r="F46" s="10"/>
      <c r="G46" s="10"/>
      <c r="H46" s="10"/>
    </row>
    <row r="47" spans="1:8" ht="42" customHeight="1" x14ac:dyDescent="0.35">
      <c r="B47" s="18" t="s">
        <v>152</v>
      </c>
      <c r="C47" s="6" t="s">
        <v>153</v>
      </c>
      <c r="D47" s="6"/>
      <c r="E47" s="6"/>
      <c r="F47" s="6"/>
      <c r="G47" s="6"/>
      <c r="H47" s="6"/>
    </row>
    <row r="48" spans="1:8" ht="42" customHeight="1" x14ac:dyDescent="0.35">
      <c r="B48" s="18" t="s">
        <v>154</v>
      </c>
      <c r="C48" s="6" t="s">
        <v>155</v>
      </c>
      <c r="D48" s="6"/>
      <c r="E48" s="6"/>
      <c r="F48" s="6"/>
      <c r="G48" s="6"/>
      <c r="H48" s="6"/>
    </row>
    <row r="49" spans="1:8" ht="42" customHeight="1" x14ac:dyDescent="0.35">
      <c r="B49" s="18" t="s">
        <v>156</v>
      </c>
      <c r="C49" s="6" t="s">
        <v>157</v>
      </c>
      <c r="D49" s="6"/>
      <c r="E49" s="6"/>
      <c r="F49" s="6"/>
      <c r="G49" s="6"/>
      <c r="H49" s="6"/>
    </row>
    <row r="50" spans="1:8" ht="42" customHeight="1" x14ac:dyDescent="0.35">
      <c r="B50" s="18" t="s">
        <v>158</v>
      </c>
      <c r="C50" s="6" t="s">
        <v>159</v>
      </c>
      <c r="D50" s="6"/>
      <c r="E50" s="6"/>
      <c r="F50" s="6"/>
      <c r="G50" s="6"/>
      <c r="H50" s="6"/>
    </row>
    <row r="51" spans="1:8" ht="42" customHeight="1" x14ac:dyDescent="0.35">
      <c r="B51" s="18" t="s">
        <v>160</v>
      </c>
      <c r="C51" s="6" t="s">
        <v>161</v>
      </c>
      <c r="D51" s="6"/>
      <c r="E51" s="6"/>
      <c r="F51" s="6"/>
      <c r="G51" s="6"/>
      <c r="H51" s="6"/>
    </row>
    <row r="53" spans="1:8" ht="15" customHeight="1" x14ac:dyDescent="0.35">
      <c r="B53" s="16" t="s">
        <v>162</v>
      </c>
    </row>
    <row r="54" spans="1:8" ht="15" customHeight="1" x14ac:dyDescent="0.35">
      <c r="A54" s="17"/>
      <c r="B54" s="17" t="s">
        <v>163</v>
      </c>
      <c r="C54" s="17" t="s">
        <v>164</v>
      </c>
      <c r="D54" s="17" t="s">
        <v>165</v>
      </c>
      <c r="E54" s="10" t="s">
        <v>166</v>
      </c>
      <c r="F54" s="10"/>
      <c r="G54" s="10"/>
      <c r="H54" s="10"/>
    </row>
    <row r="55" spans="1:8" ht="36" customHeight="1" x14ac:dyDescent="0.35">
      <c r="B55" s="18" t="s">
        <v>167</v>
      </c>
      <c r="C55" s="44">
        <f>E14</f>
        <v>30.75</v>
      </c>
      <c r="D55" s="45">
        <f>C55*12</f>
        <v>369</v>
      </c>
      <c r="E55" s="6" t="s">
        <v>168</v>
      </c>
      <c r="F55" s="6"/>
      <c r="G55" s="6"/>
      <c r="H55" s="6"/>
    </row>
    <row r="56" spans="1:8" ht="36" customHeight="1" x14ac:dyDescent="0.35">
      <c r="B56" s="18" t="s">
        <v>169</v>
      </c>
      <c r="C56" s="44">
        <f>E14+25*'Assumptions &amp; Sources'!$C$6</f>
        <v>149.5</v>
      </c>
      <c r="D56" s="45">
        <f>C56*12</f>
        <v>1794</v>
      </c>
      <c r="E56" s="6" t="s">
        <v>170</v>
      </c>
      <c r="F56" s="6"/>
      <c r="G56" s="6"/>
      <c r="H56" s="6"/>
    </row>
    <row r="57" spans="1:8" ht="36" customHeight="1" x14ac:dyDescent="0.35">
      <c r="B57" s="18" t="s">
        <v>171</v>
      </c>
      <c r="C57" s="44">
        <f>D14+25*'Assumptions &amp; Sources'!$C$6</f>
        <v>220.75</v>
      </c>
      <c r="D57" s="45">
        <f>C57*12</f>
        <v>2649</v>
      </c>
      <c r="E57" s="6" t="s">
        <v>172</v>
      </c>
      <c r="F57" s="6"/>
      <c r="G57" s="6"/>
      <c r="H57" s="6"/>
    </row>
    <row r="59" spans="1:8" ht="51.75" customHeight="1" x14ac:dyDescent="0.35">
      <c r="B59" s="5" t="s">
        <v>173</v>
      </c>
      <c r="C59" s="5"/>
      <c r="D59" s="5"/>
      <c r="E59" s="5"/>
      <c r="F59" s="5"/>
      <c r="G59" s="5"/>
      <c r="H59" s="5"/>
    </row>
  </sheetData>
  <mergeCells count="23">
    <mergeCell ref="E56:H56"/>
    <mergeCell ref="E57:H57"/>
    <mergeCell ref="B59:H59"/>
    <mergeCell ref="C49:H49"/>
    <mergeCell ref="C50:H50"/>
    <mergeCell ref="C51:H51"/>
    <mergeCell ref="E54:H54"/>
    <mergeCell ref="E55:H55"/>
    <mergeCell ref="E40:H40"/>
    <mergeCell ref="B42:H42"/>
    <mergeCell ref="C46:H46"/>
    <mergeCell ref="C47:H47"/>
    <mergeCell ref="C48:H48"/>
    <mergeCell ref="E35:H35"/>
    <mergeCell ref="E36:H36"/>
    <mergeCell ref="E37:H37"/>
    <mergeCell ref="E38:H38"/>
    <mergeCell ref="E39:H39"/>
    <mergeCell ref="B29:H29"/>
    <mergeCell ref="E31:H31"/>
    <mergeCell ref="E32:H32"/>
    <mergeCell ref="E33:H33"/>
    <mergeCell ref="E34:H3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0"/>
  <sheetViews>
    <sheetView showGridLines="0" zoomScaleNormal="100" workbookViewId="0">
      <pane ySplit="3" topLeftCell="A4" activePane="bottomLeft" state="frozen"/>
      <selection pane="bottomLeft"/>
    </sheetView>
  </sheetViews>
  <sheetFormatPr defaultColWidth="8.6328125" defaultRowHeight="14.5" x14ac:dyDescent="0.35"/>
  <cols>
    <col min="1" max="1" width="3" customWidth="1"/>
    <col min="2" max="2" width="26" customWidth="1"/>
    <col min="3" max="3" width="24" customWidth="1"/>
    <col min="4" max="4" width="18" customWidth="1"/>
    <col min="5" max="5" width="15" customWidth="1"/>
    <col min="6" max="6" width="17" customWidth="1"/>
    <col min="7" max="7" width="58" customWidth="1"/>
  </cols>
  <sheetData>
    <row r="1" spans="1:7" ht="21.75" customHeight="1" x14ac:dyDescent="0.4">
      <c r="A1" s="14" t="s">
        <v>174</v>
      </c>
    </row>
    <row r="2" spans="1:7" ht="15" customHeight="1" x14ac:dyDescent="0.35">
      <c r="A2" s="15" t="s">
        <v>175</v>
      </c>
    </row>
    <row r="4" spans="1:7" ht="21.75" customHeight="1" x14ac:dyDescent="0.35">
      <c r="B4" s="46" t="s">
        <v>176</v>
      </c>
      <c r="C4" s="47"/>
      <c r="D4" s="47"/>
      <c r="E4" s="47"/>
      <c r="F4" s="47"/>
      <c r="G4" s="47"/>
    </row>
    <row r="5" spans="1:7" ht="15" customHeight="1" x14ac:dyDescent="0.35">
      <c r="B5" s="11" t="s">
        <v>177</v>
      </c>
      <c r="C5" s="11"/>
      <c r="D5" s="11"/>
      <c r="E5" s="11"/>
      <c r="F5" s="11"/>
      <c r="G5" s="11"/>
    </row>
    <row r="6" spans="1:7" ht="30" customHeight="1" x14ac:dyDescent="0.35">
      <c r="A6" s="17"/>
      <c r="B6" s="17" t="s">
        <v>62</v>
      </c>
      <c r="C6" s="17" t="s">
        <v>178</v>
      </c>
      <c r="D6" s="17" t="s">
        <v>179</v>
      </c>
      <c r="E6" s="17" t="s">
        <v>164</v>
      </c>
      <c r="F6" s="17" t="s">
        <v>180</v>
      </c>
      <c r="G6" s="17" t="s">
        <v>181</v>
      </c>
    </row>
    <row r="7" spans="1:7" ht="45.75" customHeight="1" x14ac:dyDescent="0.35">
      <c r="B7" s="18" t="s">
        <v>67</v>
      </c>
      <c r="C7" s="20" t="s">
        <v>182</v>
      </c>
      <c r="D7" s="24" t="s">
        <v>21</v>
      </c>
      <c r="E7" s="44">
        <v>0</v>
      </c>
      <c r="F7" s="39" t="s">
        <v>103</v>
      </c>
      <c r="G7" s="20" t="s">
        <v>183</v>
      </c>
    </row>
    <row r="8" spans="1:7" ht="31.5" customHeight="1" x14ac:dyDescent="0.35">
      <c r="B8" s="18" t="s">
        <v>69</v>
      </c>
      <c r="C8" s="20" t="s">
        <v>184</v>
      </c>
      <c r="D8" s="24" t="s">
        <v>131</v>
      </c>
      <c r="E8" s="44">
        <f>20*'Assumptions &amp; Sources'!$C$6</f>
        <v>95</v>
      </c>
      <c r="F8" s="39" t="s">
        <v>106</v>
      </c>
      <c r="G8" s="20" t="s">
        <v>185</v>
      </c>
    </row>
    <row r="9" spans="1:7" ht="31.5" customHeight="1" x14ac:dyDescent="0.35">
      <c r="B9" s="18" t="s">
        <v>186</v>
      </c>
      <c r="C9" s="20" t="s">
        <v>187</v>
      </c>
      <c r="D9" s="24" t="s">
        <v>188</v>
      </c>
      <c r="E9" s="44">
        <v>0</v>
      </c>
      <c r="F9" s="25" t="s">
        <v>18</v>
      </c>
      <c r="G9" s="20" t="s">
        <v>189</v>
      </c>
    </row>
    <row r="10" spans="1:7" ht="31.5" customHeight="1" x14ac:dyDescent="0.35">
      <c r="B10" s="18" t="s">
        <v>190</v>
      </c>
      <c r="C10" s="20" t="s">
        <v>143</v>
      </c>
      <c r="D10" s="24" t="s">
        <v>131</v>
      </c>
      <c r="E10" s="44">
        <v>0</v>
      </c>
      <c r="F10" s="39" t="s">
        <v>107</v>
      </c>
      <c r="G10" s="20" t="s">
        <v>191</v>
      </c>
    </row>
    <row r="11" spans="1:7" ht="39.75" customHeight="1" x14ac:dyDescent="0.35">
      <c r="B11" s="18" t="s">
        <v>192</v>
      </c>
      <c r="C11" s="20" t="s">
        <v>18</v>
      </c>
      <c r="D11" s="24" t="s">
        <v>193</v>
      </c>
      <c r="E11" s="44">
        <v>0</v>
      </c>
      <c r="F11" s="25" t="s">
        <v>18</v>
      </c>
      <c r="G11" s="48" t="s">
        <v>194</v>
      </c>
    </row>
    <row r="12" spans="1:7" ht="31.5" customHeight="1" x14ac:dyDescent="0.35">
      <c r="B12" s="18" t="s">
        <v>195</v>
      </c>
      <c r="C12" s="20" t="s">
        <v>196</v>
      </c>
      <c r="D12" s="24" t="s">
        <v>118</v>
      </c>
      <c r="E12" s="44">
        <v>0</v>
      </c>
      <c r="F12" s="39" t="s">
        <v>196</v>
      </c>
      <c r="G12" s="20" t="s">
        <v>197</v>
      </c>
    </row>
    <row r="13" spans="1:7" ht="31.5" customHeight="1" x14ac:dyDescent="0.35">
      <c r="B13" s="18" t="s">
        <v>198</v>
      </c>
      <c r="C13" s="20" t="s">
        <v>199</v>
      </c>
      <c r="D13" s="24" t="s">
        <v>118</v>
      </c>
      <c r="E13" s="44">
        <v>0</v>
      </c>
      <c r="F13" s="39" t="s">
        <v>199</v>
      </c>
      <c r="G13" s="20" t="s">
        <v>200</v>
      </c>
    </row>
    <row r="14" spans="1:7" ht="31.5" customHeight="1" x14ac:dyDescent="0.35">
      <c r="B14" s="18" t="s">
        <v>83</v>
      </c>
      <c r="C14" s="20" t="s">
        <v>201</v>
      </c>
      <c r="D14" s="24" t="s">
        <v>202</v>
      </c>
      <c r="E14" s="44">
        <v>7</v>
      </c>
      <c r="F14" s="25" t="s">
        <v>18</v>
      </c>
      <c r="G14" s="20" t="s">
        <v>203</v>
      </c>
    </row>
    <row r="15" spans="1:7" ht="15" customHeight="1" x14ac:dyDescent="0.35">
      <c r="B15" s="34" t="s">
        <v>204</v>
      </c>
      <c r="C15" s="49"/>
      <c r="D15" s="49"/>
      <c r="E15" s="50">
        <f>SUM(E7:E14)</f>
        <v>102</v>
      </c>
      <c r="F15" s="49"/>
      <c r="G15" s="51" t="s">
        <v>205</v>
      </c>
    </row>
    <row r="16" spans="1:7" ht="30" customHeight="1" x14ac:dyDescent="0.35">
      <c r="B16" s="4" t="s">
        <v>206</v>
      </c>
      <c r="C16" s="4"/>
      <c r="D16" s="4"/>
      <c r="E16" s="4"/>
      <c r="F16" s="4"/>
      <c r="G16" s="4"/>
    </row>
    <row r="17" spans="1:7" ht="30" customHeight="1" x14ac:dyDescent="0.35">
      <c r="B17" s="5" t="s">
        <v>207</v>
      </c>
      <c r="C17" s="5"/>
      <c r="D17" s="5"/>
      <c r="E17" s="5"/>
      <c r="F17" s="5"/>
      <c r="G17" s="5"/>
    </row>
    <row r="20" spans="1:7" ht="21.75" customHeight="1" x14ac:dyDescent="0.35">
      <c r="B20" s="46" t="s">
        <v>208</v>
      </c>
      <c r="C20" s="47"/>
      <c r="D20" s="47"/>
      <c r="E20" s="47"/>
      <c r="F20" s="47"/>
      <c r="G20" s="47"/>
    </row>
    <row r="21" spans="1:7" ht="15" customHeight="1" x14ac:dyDescent="0.35">
      <c r="B21" s="11" t="s">
        <v>209</v>
      </c>
      <c r="C21" s="11"/>
      <c r="D21" s="11"/>
      <c r="E21" s="11"/>
      <c r="F21" s="11"/>
      <c r="G21" s="11"/>
    </row>
    <row r="22" spans="1:7" ht="30" customHeight="1" x14ac:dyDescent="0.35">
      <c r="A22" s="17"/>
      <c r="B22" s="17" t="s">
        <v>62</v>
      </c>
      <c r="C22" s="17" t="s">
        <v>178</v>
      </c>
      <c r="D22" s="17" t="s">
        <v>179</v>
      </c>
      <c r="E22" s="17" t="s">
        <v>164</v>
      </c>
      <c r="F22" s="17" t="s">
        <v>180</v>
      </c>
      <c r="G22" s="17" t="s">
        <v>181</v>
      </c>
    </row>
    <row r="23" spans="1:7" ht="45.75" customHeight="1" x14ac:dyDescent="0.35">
      <c r="B23" s="18" t="s">
        <v>67</v>
      </c>
      <c r="C23" s="20" t="s">
        <v>182</v>
      </c>
      <c r="D23" s="24" t="s">
        <v>21</v>
      </c>
      <c r="E23" s="44">
        <v>0</v>
      </c>
      <c r="F23" s="39" t="s">
        <v>103</v>
      </c>
      <c r="G23" s="20" t="s">
        <v>183</v>
      </c>
    </row>
    <row r="24" spans="1:7" ht="31.5" customHeight="1" x14ac:dyDescent="0.35">
      <c r="B24" s="18" t="s">
        <v>69</v>
      </c>
      <c r="C24" s="20" t="s">
        <v>210</v>
      </c>
      <c r="D24" s="24" t="s">
        <v>131</v>
      </c>
      <c r="E24" s="44">
        <f>5*'Assumptions &amp; Sources'!$C$6</f>
        <v>23.75</v>
      </c>
      <c r="F24" s="39" t="s">
        <v>107</v>
      </c>
      <c r="G24" s="20" t="s">
        <v>211</v>
      </c>
    </row>
    <row r="25" spans="1:7" ht="31.5" customHeight="1" x14ac:dyDescent="0.35">
      <c r="B25" s="18" t="s">
        <v>186</v>
      </c>
      <c r="C25" s="20" t="s">
        <v>187</v>
      </c>
      <c r="D25" s="24" t="s">
        <v>188</v>
      </c>
      <c r="E25" s="44">
        <v>0</v>
      </c>
      <c r="F25" s="25" t="s">
        <v>18</v>
      </c>
      <c r="G25" s="20" t="s">
        <v>212</v>
      </c>
    </row>
    <row r="26" spans="1:7" ht="31.5" customHeight="1" x14ac:dyDescent="0.35">
      <c r="B26" s="18" t="s">
        <v>190</v>
      </c>
      <c r="C26" s="20" t="s">
        <v>143</v>
      </c>
      <c r="D26" s="24" t="s">
        <v>131</v>
      </c>
      <c r="E26" s="44">
        <v>0</v>
      </c>
      <c r="F26" s="39" t="s">
        <v>107</v>
      </c>
      <c r="G26" s="20" t="s">
        <v>213</v>
      </c>
    </row>
    <row r="27" spans="1:7" ht="39.75" customHeight="1" x14ac:dyDescent="0.35">
      <c r="B27" s="18" t="s">
        <v>192</v>
      </c>
      <c r="C27" s="20" t="s">
        <v>18</v>
      </c>
      <c r="D27" s="24" t="s">
        <v>193</v>
      </c>
      <c r="E27" s="44">
        <v>0</v>
      </c>
      <c r="F27" s="25" t="s">
        <v>18</v>
      </c>
      <c r="G27" s="48" t="s">
        <v>194</v>
      </c>
    </row>
    <row r="28" spans="1:7" ht="31.5" customHeight="1" x14ac:dyDescent="0.35">
      <c r="B28" s="18" t="s">
        <v>195</v>
      </c>
      <c r="C28" s="20" t="s">
        <v>196</v>
      </c>
      <c r="D28" s="24" t="s">
        <v>118</v>
      </c>
      <c r="E28" s="44">
        <v>0</v>
      </c>
      <c r="F28" s="39" t="s">
        <v>196</v>
      </c>
      <c r="G28" s="20" t="s">
        <v>212</v>
      </c>
    </row>
    <row r="29" spans="1:7" ht="31.5" customHeight="1" x14ac:dyDescent="0.35">
      <c r="B29" s="18" t="s">
        <v>198</v>
      </c>
      <c r="C29" s="20" t="s">
        <v>199</v>
      </c>
      <c r="D29" s="24" t="s">
        <v>118</v>
      </c>
      <c r="E29" s="44">
        <v>0</v>
      </c>
      <c r="F29" s="39" t="s">
        <v>199</v>
      </c>
      <c r="G29" s="20" t="s">
        <v>212</v>
      </c>
    </row>
    <row r="30" spans="1:7" ht="31.5" customHeight="1" x14ac:dyDescent="0.35">
      <c r="B30" s="18" t="s">
        <v>83</v>
      </c>
      <c r="C30" s="20" t="s">
        <v>201</v>
      </c>
      <c r="D30" s="24" t="s">
        <v>202</v>
      </c>
      <c r="E30" s="44">
        <v>7</v>
      </c>
      <c r="F30" s="25" t="s">
        <v>18</v>
      </c>
      <c r="G30" s="20" t="s">
        <v>203</v>
      </c>
    </row>
    <row r="31" spans="1:7" ht="15" customHeight="1" x14ac:dyDescent="0.35">
      <c r="B31" s="34" t="s">
        <v>204</v>
      </c>
      <c r="C31" s="49"/>
      <c r="D31" s="49"/>
      <c r="E31" s="50">
        <f>SUM(E23:E30)</f>
        <v>30.75</v>
      </c>
      <c r="F31" s="49"/>
      <c r="G31" s="51" t="s">
        <v>205</v>
      </c>
    </row>
    <row r="32" spans="1:7" ht="30" customHeight="1" x14ac:dyDescent="0.35">
      <c r="B32" s="4" t="s">
        <v>214</v>
      </c>
      <c r="C32" s="4"/>
      <c r="D32" s="4"/>
      <c r="E32" s="4"/>
      <c r="F32" s="4"/>
      <c r="G32" s="4"/>
    </row>
    <row r="33" spans="1:7" ht="30" customHeight="1" x14ac:dyDescent="0.35">
      <c r="B33" s="5" t="s">
        <v>215</v>
      </c>
      <c r="C33" s="5"/>
      <c r="D33" s="5"/>
      <c r="E33" s="5"/>
      <c r="F33" s="5"/>
      <c r="G33" s="5"/>
    </row>
    <row r="36" spans="1:7" ht="21.75" customHeight="1" x14ac:dyDescent="0.35">
      <c r="B36" s="46" t="s">
        <v>216</v>
      </c>
      <c r="C36" s="47"/>
      <c r="D36" s="47"/>
      <c r="E36" s="47"/>
      <c r="F36" s="47"/>
      <c r="G36" s="47"/>
    </row>
    <row r="37" spans="1:7" ht="15" customHeight="1" x14ac:dyDescent="0.35">
      <c r="B37" s="11" t="s">
        <v>217</v>
      </c>
      <c r="C37" s="11"/>
      <c r="D37" s="11"/>
      <c r="E37" s="11"/>
      <c r="F37" s="11"/>
      <c r="G37" s="11"/>
    </row>
    <row r="38" spans="1:7" ht="30" customHeight="1" x14ac:dyDescent="0.35">
      <c r="A38" s="17"/>
      <c r="B38" s="17" t="s">
        <v>62</v>
      </c>
      <c r="C38" s="17" t="s">
        <v>178</v>
      </c>
      <c r="D38" s="17" t="s">
        <v>179</v>
      </c>
      <c r="E38" s="17" t="s">
        <v>164</v>
      </c>
      <c r="F38" s="17" t="s">
        <v>180</v>
      </c>
      <c r="G38" s="17" t="s">
        <v>181</v>
      </c>
    </row>
    <row r="39" spans="1:7" ht="31.5" customHeight="1" x14ac:dyDescent="0.35">
      <c r="B39" s="18" t="s">
        <v>218</v>
      </c>
      <c r="C39" s="20" t="s">
        <v>136</v>
      </c>
      <c r="D39" s="24" t="s">
        <v>21</v>
      </c>
      <c r="E39" s="44">
        <f>12*'Assumptions &amp; Sources'!$C$6</f>
        <v>57</v>
      </c>
      <c r="F39" s="25" t="s">
        <v>18</v>
      </c>
      <c r="G39" s="20" t="s">
        <v>219</v>
      </c>
    </row>
    <row r="40" spans="1:7" ht="31.5" customHeight="1" x14ac:dyDescent="0.35">
      <c r="B40" s="18" t="s">
        <v>67</v>
      </c>
      <c r="C40" s="20" t="s">
        <v>220</v>
      </c>
      <c r="D40" s="24" t="s">
        <v>221</v>
      </c>
      <c r="E40" s="44">
        <v>0</v>
      </c>
      <c r="F40" s="25" t="s">
        <v>18</v>
      </c>
      <c r="G40" s="20" t="s">
        <v>222</v>
      </c>
    </row>
    <row r="41" spans="1:7" ht="31.5" customHeight="1" x14ac:dyDescent="0.35">
      <c r="B41" s="18" t="s">
        <v>69</v>
      </c>
      <c r="C41" s="20" t="s">
        <v>223</v>
      </c>
      <c r="D41" s="24" t="s">
        <v>21</v>
      </c>
      <c r="E41" s="44">
        <v>0</v>
      </c>
      <c r="F41" s="25" t="s">
        <v>18</v>
      </c>
      <c r="G41" s="20" t="s">
        <v>224</v>
      </c>
    </row>
    <row r="42" spans="1:7" ht="31.5" customHeight="1" x14ac:dyDescent="0.35">
      <c r="B42" s="18" t="s">
        <v>186</v>
      </c>
      <c r="C42" s="20" t="s">
        <v>187</v>
      </c>
      <c r="D42" s="24" t="s">
        <v>188</v>
      </c>
      <c r="E42" s="44">
        <v>0</v>
      </c>
      <c r="F42" s="25" t="s">
        <v>18</v>
      </c>
      <c r="G42" s="20" t="s">
        <v>212</v>
      </c>
    </row>
    <row r="43" spans="1:7" ht="31.5" customHeight="1" x14ac:dyDescent="0.35">
      <c r="B43" s="18" t="s">
        <v>190</v>
      </c>
      <c r="C43" s="20" t="s">
        <v>143</v>
      </c>
      <c r="D43" s="24" t="s">
        <v>131</v>
      </c>
      <c r="E43" s="44">
        <v>0</v>
      </c>
      <c r="F43" s="39" t="s">
        <v>107</v>
      </c>
      <c r="G43" s="20" t="s">
        <v>225</v>
      </c>
    </row>
    <row r="44" spans="1:7" ht="31.5" customHeight="1" x14ac:dyDescent="0.35">
      <c r="B44" s="18" t="s">
        <v>192</v>
      </c>
      <c r="C44" s="20" t="s">
        <v>226</v>
      </c>
      <c r="D44" s="24" t="s">
        <v>131</v>
      </c>
      <c r="E44" s="44">
        <v>0</v>
      </c>
      <c r="F44" s="25" t="s">
        <v>18</v>
      </c>
      <c r="G44" s="20" t="s">
        <v>227</v>
      </c>
    </row>
    <row r="45" spans="1:7" ht="31.5" customHeight="1" x14ac:dyDescent="0.35">
      <c r="B45" s="18" t="s">
        <v>195</v>
      </c>
      <c r="C45" s="20" t="s">
        <v>196</v>
      </c>
      <c r="D45" s="24" t="s">
        <v>118</v>
      </c>
      <c r="E45" s="44">
        <v>0</v>
      </c>
      <c r="F45" s="39" t="s">
        <v>196</v>
      </c>
      <c r="G45" s="20" t="s">
        <v>212</v>
      </c>
    </row>
    <row r="46" spans="1:7" ht="31.5" customHeight="1" x14ac:dyDescent="0.35">
      <c r="B46" s="18" t="s">
        <v>198</v>
      </c>
      <c r="C46" s="20" t="s">
        <v>199</v>
      </c>
      <c r="D46" s="24" t="s">
        <v>118</v>
      </c>
      <c r="E46" s="44">
        <v>0</v>
      </c>
      <c r="F46" s="39" t="s">
        <v>199</v>
      </c>
      <c r="G46" s="20" t="s">
        <v>212</v>
      </c>
    </row>
    <row r="47" spans="1:7" ht="31.5" customHeight="1" x14ac:dyDescent="0.35">
      <c r="B47" s="18" t="s">
        <v>83</v>
      </c>
      <c r="C47" s="20" t="s">
        <v>201</v>
      </c>
      <c r="D47" s="24" t="s">
        <v>202</v>
      </c>
      <c r="E47" s="44">
        <v>7</v>
      </c>
      <c r="F47" s="25" t="s">
        <v>18</v>
      </c>
      <c r="G47" s="20" t="s">
        <v>203</v>
      </c>
    </row>
    <row r="48" spans="1:7" ht="15" customHeight="1" x14ac:dyDescent="0.35">
      <c r="B48" s="34" t="s">
        <v>204</v>
      </c>
      <c r="C48" s="49"/>
      <c r="D48" s="49"/>
      <c r="E48" s="50">
        <f>SUM(E39:E47)</f>
        <v>64</v>
      </c>
      <c r="F48" s="49"/>
      <c r="G48" s="51" t="s">
        <v>205</v>
      </c>
    </row>
    <row r="49" spans="1:7" ht="30" customHeight="1" x14ac:dyDescent="0.35">
      <c r="B49" s="4" t="s">
        <v>228</v>
      </c>
      <c r="C49" s="4"/>
      <c r="D49" s="4"/>
      <c r="E49" s="4"/>
      <c r="F49" s="4"/>
      <c r="G49" s="4"/>
    </row>
    <row r="50" spans="1:7" ht="30" customHeight="1" x14ac:dyDescent="0.35">
      <c r="B50" s="5" t="s">
        <v>229</v>
      </c>
      <c r="C50" s="5"/>
      <c r="D50" s="5"/>
      <c r="E50" s="5"/>
      <c r="F50" s="5"/>
      <c r="G50" s="5"/>
    </row>
    <row r="53" spans="1:7" ht="21.75" customHeight="1" x14ac:dyDescent="0.35">
      <c r="B53" s="46" t="s">
        <v>230</v>
      </c>
      <c r="C53" s="47"/>
      <c r="D53" s="47"/>
      <c r="E53" s="47"/>
      <c r="F53" s="47"/>
      <c r="G53" s="47"/>
    </row>
    <row r="54" spans="1:7" ht="15" customHeight="1" x14ac:dyDescent="0.35">
      <c r="B54" s="11" t="s">
        <v>231</v>
      </c>
      <c r="C54" s="11"/>
      <c r="D54" s="11"/>
      <c r="E54" s="11"/>
      <c r="F54" s="11"/>
      <c r="G54" s="11"/>
    </row>
    <row r="55" spans="1:7" ht="30" customHeight="1" x14ac:dyDescent="0.35">
      <c r="A55" s="17"/>
      <c r="B55" s="17" t="s">
        <v>62</v>
      </c>
      <c r="C55" s="17" t="s">
        <v>178</v>
      </c>
      <c r="D55" s="17" t="s">
        <v>179</v>
      </c>
      <c r="E55" s="17" t="s">
        <v>164</v>
      </c>
      <c r="F55" s="17" t="s">
        <v>180</v>
      </c>
      <c r="G55" s="17" t="s">
        <v>181</v>
      </c>
    </row>
    <row r="56" spans="1:7" ht="31.5" customHeight="1" x14ac:dyDescent="0.35">
      <c r="B56" s="18" t="s">
        <v>218</v>
      </c>
      <c r="C56" s="20" t="s">
        <v>232</v>
      </c>
      <c r="D56" s="24" t="s">
        <v>140</v>
      </c>
      <c r="E56" s="44">
        <v>60</v>
      </c>
      <c r="F56" s="25" t="s">
        <v>18</v>
      </c>
      <c r="G56" s="20" t="s">
        <v>233</v>
      </c>
    </row>
    <row r="57" spans="1:7" ht="31.5" customHeight="1" x14ac:dyDescent="0.35">
      <c r="B57" s="18" t="s">
        <v>67</v>
      </c>
      <c r="C57" s="20" t="s">
        <v>220</v>
      </c>
      <c r="D57" s="24" t="s">
        <v>234</v>
      </c>
      <c r="E57" s="44">
        <v>0</v>
      </c>
      <c r="F57" s="25" t="s">
        <v>18</v>
      </c>
      <c r="G57" s="20" t="s">
        <v>235</v>
      </c>
    </row>
    <row r="58" spans="1:7" ht="31.5" customHeight="1" x14ac:dyDescent="0.35">
      <c r="B58" s="18" t="s">
        <v>69</v>
      </c>
      <c r="C58" s="20" t="s">
        <v>223</v>
      </c>
      <c r="D58" s="24" t="s">
        <v>140</v>
      </c>
      <c r="E58" s="44">
        <v>0</v>
      </c>
      <c r="F58" s="25" t="s">
        <v>18</v>
      </c>
      <c r="G58" s="20" t="s">
        <v>236</v>
      </c>
    </row>
    <row r="59" spans="1:7" ht="31.5" customHeight="1" x14ac:dyDescent="0.35">
      <c r="B59" s="18" t="s">
        <v>186</v>
      </c>
      <c r="C59" s="20" t="s">
        <v>187</v>
      </c>
      <c r="D59" s="24" t="s">
        <v>188</v>
      </c>
      <c r="E59" s="44">
        <v>0</v>
      </c>
      <c r="F59" s="25" t="s">
        <v>18</v>
      </c>
      <c r="G59" s="20" t="s">
        <v>212</v>
      </c>
    </row>
    <row r="60" spans="1:7" ht="31.5" customHeight="1" x14ac:dyDescent="0.35">
      <c r="B60" s="18" t="s">
        <v>190</v>
      </c>
      <c r="C60" s="20" t="s">
        <v>237</v>
      </c>
      <c r="D60" s="24" t="s">
        <v>140</v>
      </c>
      <c r="E60" s="44">
        <v>0</v>
      </c>
      <c r="F60" s="25" t="s">
        <v>18</v>
      </c>
      <c r="G60" s="20" t="s">
        <v>238</v>
      </c>
    </row>
    <row r="61" spans="1:7" ht="31.5" customHeight="1" x14ac:dyDescent="0.35">
      <c r="B61" s="18" t="s">
        <v>192</v>
      </c>
      <c r="C61" s="20" t="s">
        <v>239</v>
      </c>
      <c r="D61" s="24" t="s">
        <v>140</v>
      </c>
      <c r="E61" s="44">
        <v>25</v>
      </c>
      <c r="F61" s="25" t="s">
        <v>18</v>
      </c>
      <c r="G61" s="20" t="s">
        <v>240</v>
      </c>
    </row>
    <row r="62" spans="1:7" ht="31.5" customHeight="1" x14ac:dyDescent="0.35">
      <c r="B62" s="18" t="s">
        <v>195</v>
      </c>
      <c r="C62" s="20" t="s">
        <v>241</v>
      </c>
      <c r="D62" s="24" t="s">
        <v>242</v>
      </c>
      <c r="E62" s="44">
        <v>0</v>
      </c>
      <c r="F62" s="25" t="s">
        <v>18</v>
      </c>
      <c r="G62" s="20" t="s">
        <v>243</v>
      </c>
    </row>
    <row r="63" spans="1:7" ht="31.5" customHeight="1" x14ac:dyDescent="0.35">
      <c r="B63" s="18" t="s">
        <v>198</v>
      </c>
      <c r="C63" s="20" t="s">
        <v>244</v>
      </c>
      <c r="D63" s="24" t="s">
        <v>242</v>
      </c>
      <c r="E63" s="44">
        <v>0</v>
      </c>
      <c r="F63" s="25" t="s">
        <v>18</v>
      </c>
      <c r="G63" s="20" t="s">
        <v>245</v>
      </c>
    </row>
    <row r="64" spans="1:7" ht="31.5" customHeight="1" x14ac:dyDescent="0.35">
      <c r="B64" s="18" t="s">
        <v>83</v>
      </c>
      <c r="C64" s="20" t="s">
        <v>201</v>
      </c>
      <c r="D64" s="24" t="s">
        <v>202</v>
      </c>
      <c r="E64" s="44">
        <v>7</v>
      </c>
      <c r="F64" s="25" t="s">
        <v>18</v>
      </c>
      <c r="G64" s="20" t="s">
        <v>203</v>
      </c>
    </row>
    <row r="65" spans="2:7" ht="15" customHeight="1" x14ac:dyDescent="0.35">
      <c r="B65" s="34" t="s">
        <v>204</v>
      </c>
      <c r="C65" s="49"/>
      <c r="D65" s="49"/>
      <c r="E65" s="50">
        <f>SUM(E56:E64)</f>
        <v>92</v>
      </c>
      <c r="F65" s="49"/>
      <c r="G65" s="51" t="s">
        <v>205</v>
      </c>
    </row>
    <row r="66" spans="2:7" ht="30" customHeight="1" x14ac:dyDescent="0.35">
      <c r="B66" s="4" t="s">
        <v>246</v>
      </c>
      <c r="C66" s="4"/>
      <c r="D66" s="4"/>
      <c r="E66" s="4"/>
      <c r="F66" s="4"/>
      <c r="G66" s="4"/>
    </row>
    <row r="67" spans="2:7" ht="30" customHeight="1" x14ac:dyDescent="0.35">
      <c r="B67" s="5" t="s">
        <v>247</v>
      </c>
      <c r="C67" s="5"/>
      <c r="D67" s="5"/>
      <c r="E67" s="5"/>
      <c r="F67" s="5"/>
      <c r="G67" s="5"/>
    </row>
    <row r="70" spans="2:7" ht="51.75" customHeight="1" x14ac:dyDescent="0.35">
      <c r="B70" s="3" t="s">
        <v>248</v>
      </c>
      <c r="C70" s="3"/>
      <c r="D70" s="3"/>
      <c r="E70" s="3"/>
      <c r="F70" s="3"/>
      <c r="G70" s="3"/>
    </row>
  </sheetData>
  <mergeCells count="13">
    <mergeCell ref="B66:G66"/>
    <mergeCell ref="B67:G67"/>
    <mergeCell ref="B70:G70"/>
    <mergeCell ref="B33:G33"/>
    <mergeCell ref="B37:G37"/>
    <mergeCell ref="B49:G49"/>
    <mergeCell ref="B50:G50"/>
    <mergeCell ref="B54:G54"/>
    <mergeCell ref="B5:G5"/>
    <mergeCell ref="B16:G16"/>
    <mergeCell ref="B17:G17"/>
    <mergeCell ref="B21:G21"/>
    <mergeCell ref="B32:G3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5"/>
  <sheetViews>
    <sheetView showGridLines="0" zoomScaleNormal="100" workbookViewId="0">
      <pane ySplit="3" topLeftCell="A4" activePane="bottomLeft" state="frozen"/>
      <selection pane="bottomLeft"/>
    </sheetView>
  </sheetViews>
  <sheetFormatPr defaultColWidth="8.6328125" defaultRowHeight="14.5" x14ac:dyDescent="0.35"/>
  <cols>
    <col min="1" max="1" width="3" customWidth="1"/>
    <col min="2" max="2" width="30" customWidth="1"/>
    <col min="3" max="6" width="25" customWidth="1"/>
    <col min="7" max="7" width="50" customWidth="1"/>
  </cols>
  <sheetData>
    <row r="1" spans="1:7" ht="21.75" customHeight="1" x14ac:dyDescent="0.4">
      <c r="A1" s="14" t="s">
        <v>249</v>
      </c>
    </row>
    <row r="2" spans="1:7" ht="15" customHeight="1" x14ac:dyDescent="0.35">
      <c r="A2" s="15" t="s">
        <v>250</v>
      </c>
    </row>
    <row r="4" spans="1:7" ht="87.75" customHeight="1" x14ac:dyDescent="0.35">
      <c r="B4" s="3" t="s">
        <v>251</v>
      </c>
      <c r="C4" s="3"/>
      <c r="D4" s="3"/>
      <c r="E4" s="3"/>
      <c r="F4" s="3"/>
      <c r="G4" s="3"/>
    </row>
    <row r="6" spans="1:7" ht="15" customHeight="1" x14ac:dyDescent="0.35">
      <c r="B6" s="16" t="s">
        <v>252</v>
      </c>
    </row>
    <row r="7" spans="1:7" ht="24" customHeight="1" x14ac:dyDescent="0.35">
      <c r="A7" s="17"/>
      <c r="B7" s="17"/>
      <c r="C7" s="10" t="s">
        <v>253</v>
      </c>
      <c r="D7" s="10"/>
      <c r="E7" s="10" t="s">
        <v>254</v>
      </c>
      <c r="F7" s="10"/>
    </row>
    <row r="8" spans="1:7" ht="33.75" customHeight="1" x14ac:dyDescent="0.35">
      <c r="B8" s="18" t="s">
        <v>255</v>
      </c>
      <c r="C8" s="6" t="s">
        <v>256</v>
      </c>
      <c r="D8" s="6"/>
      <c r="E8" s="6" t="s">
        <v>257</v>
      </c>
      <c r="F8" s="6"/>
    </row>
    <row r="9" spans="1:7" ht="33.75" customHeight="1" x14ac:dyDescent="0.35">
      <c r="B9" s="18" t="s">
        <v>258</v>
      </c>
      <c r="C9" s="6" t="s">
        <v>259</v>
      </c>
      <c r="D9" s="6"/>
      <c r="E9" s="6" t="s">
        <v>260</v>
      </c>
      <c r="F9" s="6"/>
    </row>
    <row r="10" spans="1:7" ht="33.75" customHeight="1" x14ac:dyDescent="0.35">
      <c r="B10" s="18" t="s">
        <v>261</v>
      </c>
      <c r="C10" s="6" t="s">
        <v>262</v>
      </c>
      <c r="D10" s="6"/>
      <c r="E10" s="6" t="s">
        <v>263</v>
      </c>
      <c r="F10" s="6"/>
    </row>
    <row r="11" spans="1:7" ht="33.75" customHeight="1" x14ac:dyDescent="0.35">
      <c r="B11" s="18" t="s">
        <v>264</v>
      </c>
      <c r="C11" s="6" t="s">
        <v>265</v>
      </c>
      <c r="D11" s="6"/>
      <c r="E11" s="6" t="s">
        <v>266</v>
      </c>
      <c r="F11" s="6"/>
    </row>
    <row r="13" spans="1:7" ht="15" customHeight="1" x14ac:dyDescent="0.35">
      <c r="B13" s="16" t="s">
        <v>267</v>
      </c>
    </row>
    <row r="14" spans="1:7" ht="33.75" customHeight="1" x14ac:dyDescent="0.35">
      <c r="A14" s="17"/>
      <c r="B14" s="17" t="s">
        <v>268</v>
      </c>
      <c r="C14" s="17" t="s">
        <v>269</v>
      </c>
      <c r="D14" s="17" t="s">
        <v>270</v>
      </c>
      <c r="E14" s="17" t="s">
        <v>271</v>
      </c>
      <c r="F14" s="17" t="s">
        <v>272</v>
      </c>
      <c r="G14" s="17" t="s">
        <v>9</v>
      </c>
    </row>
    <row r="15" spans="1:7" ht="43.5" customHeight="1" x14ac:dyDescent="0.35">
      <c r="B15" s="18" t="s">
        <v>273</v>
      </c>
      <c r="C15" s="24" t="s">
        <v>274</v>
      </c>
      <c r="D15" s="24" t="s">
        <v>275</v>
      </c>
      <c r="E15" s="24" t="s">
        <v>276</v>
      </c>
      <c r="F15" s="24" t="s">
        <v>277</v>
      </c>
      <c r="G15" s="20" t="s">
        <v>278</v>
      </c>
    </row>
    <row r="16" spans="1:7" ht="43.5" customHeight="1" x14ac:dyDescent="0.35">
      <c r="B16" s="18" t="s">
        <v>279</v>
      </c>
      <c r="C16" s="24" t="s">
        <v>280</v>
      </c>
      <c r="D16" s="25" t="s">
        <v>281</v>
      </c>
      <c r="E16" s="24" t="s">
        <v>282</v>
      </c>
      <c r="F16" s="24" t="s">
        <v>283</v>
      </c>
      <c r="G16" s="20" t="s">
        <v>284</v>
      </c>
    </row>
    <row r="17" spans="1:7" ht="43.5" customHeight="1" x14ac:dyDescent="0.35">
      <c r="B17" s="18" t="s">
        <v>285</v>
      </c>
      <c r="C17" s="24" t="s">
        <v>286</v>
      </c>
      <c r="D17" s="24" t="s">
        <v>287</v>
      </c>
      <c r="E17" s="24" t="s">
        <v>288</v>
      </c>
      <c r="F17" s="24" t="s">
        <v>289</v>
      </c>
      <c r="G17" s="20" t="s">
        <v>290</v>
      </c>
    </row>
    <row r="18" spans="1:7" ht="43.5" customHeight="1" x14ac:dyDescent="0.35">
      <c r="B18" s="18" t="s">
        <v>291</v>
      </c>
      <c r="C18" s="24" t="s">
        <v>292</v>
      </c>
      <c r="D18" s="24" t="s">
        <v>293</v>
      </c>
      <c r="E18" s="24" t="s">
        <v>294</v>
      </c>
      <c r="F18" s="24" t="s">
        <v>294</v>
      </c>
      <c r="G18" s="20" t="s">
        <v>295</v>
      </c>
    </row>
    <row r="19" spans="1:7" ht="43.5" customHeight="1" x14ac:dyDescent="0.35">
      <c r="B19" s="18" t="s">
        <v>296</v>
      </c>
      <c r="C19" s="24" t="s">
        <v>297</v>
      </c>
      <c r="D19" s="24" t="s">
        <v>297</v>
      </c>
      <c r="E19" s="24" t="s">
        <v>298</v>
      </c>
      <c r="F19" s="24" t="s">
        <v>298</v>
      </c>
      <c r="G19" s="20" t="s">
        <v>299</v>
      </c>
    </row>
    <row r="20" spans="1:7" ht="43.5" customHeight="1" x14ac:dyDescent="0.35">
      <c r="B20" s="18" t="s">
        <v>300</v>
      </c>
      <c r="C20" s="24" t="s">
        <v>301</v>
      </c>
      <c r="D20" s="25" t="s">
        <v>302</v>
      </c>
      <c r="E20" s="24" t="s">
        <v>303</v>
      </c>
      <c r="F20" s="24" t="s">
        <v>304</v>
      </c>
      <c r="G20" s="20" t="s">
        <v>305</v>
      </c>
    </row>
    <row r="21" spans="1:7" ht="43.5" customHeight="1" x14ac:dyDescent="0.35">
      <c r="B21" s="18" t="s">
        <v>306</v>
      </c>
      <c r="C21" s="24" t="s">
        <v>307</v>
      </c>
      <c r="D21" s="24" t="s">
        <v>308</v>
      </c>
      <c r="E21" s="24" t="s">
        <v>309</v>
      </c>
      <c r="F21" s="39" t="s">
        <v>310</v>
      </c>
      <c r="G21" s="20" t="s">
        <v>311</v>
      </c>
    </row>
    <row r="22" spans="1:7" ht="43.5" customHeight="1" x14ac:dyDescent="0.35">
      <c r="B22" s="18" t="s">
        <v>312</v>
      </c>
      <c r="C22" s="24" t="s">
        <v>313</v>
      </c>
      <c r="D22" s="24" t="s">
        <v>314</v>
      </c>
      <c r="E22" s="24" t="s">
        <v>315</v>
      </c>
      <c r="F22" s="24" t="s">
        <v>315</v>
      </c>
      <c r="G22" s="20" t="s">
        <v>316</v>
      </c>
    </row>
    <row r="23" spans="1:7" ht="43.5" customHeight="1" x14ac:dyDescent="0.35">
      <c r="B23" s="18" t="s">
        <v>317</v>
      </c>
      <c r="C23" s="24" t="s">
        <v>318</v>
      </c>
      <c r="D23" s="25" t="s">
        <v>319</v>
      </c>
      <c r="E23" s="24" t="s">
        <v>318</v>
      </c>
      <c r="F23" s="24" t="s">
        <v>318</v>
      </c>
      <c r="G23" s="20" t="s">
        <v>320</v>
      </c>
    </row>
    <row r="24" spans="1:7" ht="43.5" customHeight="1" x14ac:dyDescent="0.35">
      <c r="B24" s="18" t="s">
        <v>321</v>
      </c>
      <c r="C24" s="24" t="s">
        <v>106</v>
      </c>
      <c r="D24" s="24" t="s">
        <v>107</v>
      </c>
      <c r="E24" s="25" t="s">
        <v>18</v>
      </c>
      <c r="F24" s="25" t="s">
        <v>18</v>
      </c>
      <c r="G24" s="20"/>
    </row>
    <row r="25" spans="1:7" ht="43.5" customHeight="1" x14ac:dyDescent="0.35">
      <c r="B25" s="18" t="s">
        <v>322</v>
      </c>
      <c r="C25" s="24" t="s">
        <v>323</v>
      </c>
      <c r="D25" s="24" t="s">
        <v>324</v>
      </c>
      <c r="E25" s="25" t="s">
        <v>325</v>
      </c>
      <c r="F25" s="25" t="s">
        <v>325</v>
      </c>
      <c r="G25" s="20" t="s">
        <v>326</v>
      </c>
    </row>
    <row r="27" spans="1:7" ht="15" customHeight="1" x14ac:dyDescent="0.35">
      <c r="B27" s="16" t="s">
        <v>327</v>
      </c>
    </row>
    <row r="28" spans="1:7" ht="31.5" customHeight="1" x14ac:dyDescent="0.35">
      <c r="A28" s="17"/>
      <c r="B28" s="17" t="s">
        <v>5</v>
      </c>
      <c r="C28" s="17" t="s">
        <v>328</v>
      </c>
      <c r="D28" s="17" t="s">
        <v>329</v>
      </c>
      <c r="E28" s="17" t="s">
        <v>330</v>
      </c>
      <c r="F28" s="17" t="s">
        <v>331</v>
      </c>
      <c r="G28" s="17" t="s">
        <v>9</v>
      </c>
    </row>
    <row r="29" spans="1:7" ht="37.5" customHeight="1" x14ac:dyDescent="0.35">
      <c r="B29" s="18" t="s">
        <v>332</v>
      </c>
      <c r="C29" s="52">
        <v>50000</v>
      </c>
      <c r="D29" s="53">
        <v>10000000</v>
      </c>
      <c r="E29" s="53">
        <v>10000000</v>
      </c>
      <c r="F29" s="54" t="str">
        <f>D29/$C29&amp;"x  /  "&amp;TEXT(E29/$C29,"0")&amp;"x"</f>
        <v>200x  /  200x</v>
      </c>
      <c r="G29" s="20" t="s">
        <v>333</v>
      </c>
    </row>
    <row r="30" spans="1:7" ht="37.5" customHeight="1" x14ac:dyDescent="0.35">
      <c r="B30" s="18" t="s">
        <v>334</v>
      </c>
      <c r="C30" s="52">
        <v>10</v>
      </c>
      <c r="D30" s="53">
        <v>1000</v>
      </c>
      <c r="E30" s="53">
        <v>1000</v>
      </c>
      <c r="F30" s="54" t="str">
        <f>D30/$C30&amp;"x  /  "&amp;TEXT(E30/$C30,"0")&amp;"x"</f>
        <v>100x  /  100x</v>
      </c>
      <c r="G30" s="20" t="s">
        <v>335</v>
      </c>
    </row>
    <row r="31" spans="1:7" ht="37.5" customHeight="1" x14ac:dyDescent="0.35">
      <c r="B31" s="18" t="s">
        <v>336</v>
      </c>
      <c r="C31" s="52">
        <v>64</v>
      </c>
      <c r="D31" s="53">
        <v>2048</v>
      </c>
      <c r="E31" s="53">
        <v>128</v>
      </c>
      <c r="F31" s="54" t="str">
        <f>D31/$C31&amp;"x  /  "&amp;TEXT(E31/$C31,"0")&amp;"x"</f>
        <v>32x  /  2x</v>
      </c>
      <c r="G31" s="20" t="s">
        <v>337</v>
      </c>
    </row>
    <row r="33" spans="2:7" ht="124.5" customHeight="1" x14ac:dyDescent="0.35">
      <c r="B33" s="5" t="s">
        <v>338</v>
      </c>
      <c r="C33" s="5"/>
      <c r="D33" s="5"/>
      <c r="E33" s="5"/>
      <c r="F33" s="5"/>
      <c r="G33" s="5"/>
    </row>
    <row r="35" spans="2:7" ht="27.75" customHeight="1" x14ac:dyDescent="0.35">
      <c r="B35" s="2" t="s">
        <v>339</v>
      </c>
      <c r="C35" s="2"/>
      <c r="D35" s="2"/>
      <c r="E35" s="2"/>
      <c r="F35" s="2"/>
      <c r="G35" s="2"/>
    </row>
  </sheetData>
  <mergeCells count="13">
    <mergeCell ref="B33:G33"/>
    <mergeCell ref="B35:G35"/>
    <mergeCell ref="C9:D9"/>
    <mergeCell ref="E9:F9"/>
    <mergeCell ref="C10:D10"/>
    <mergeCell ref="E10:F10"/>
    <mergeCell ref="C11:D11"/>
    <mergeCell ref="E11:F11"/>
    <mergeCell ref="B4:G4"/>
    <mergeCell ref="C7:D7"/>
    <mergeCell ref="E7:F7"/>
    <mergeCell ref="C8:D8"/>
    <mergeCell ref="E8:F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6"/>
  <sheetViews>
    <sheetView showGridLines="0" zoomScaleNormal="100" workbookViewId="0">
      <pane ySplit="3" topLeftCell="A4" activePane="bottomLeft" state="frozen"/>
      <selection pane="bottomLeft"/>
    </sheetView>
  </sheetViews>
  <sheetFormatPr defaultColWidth="8.6328125" defaultRowHeight="14.5" x14ac:dyDescent="0.35"/>
  <cols>
    <col min="1" max="1" width="3" customWidth="1"/>
    <col min="2" max="2" width="30" customWidth="1"/>
    <col min="3" max="5" width="16" customWidth="1"/>
    <col min="6" max="6" width="18" customWidth="1"/>
    <col min="7" max="7" width="50" customWidth="1"/>
  </cols>
  <sheetData>
    <row r="1" spans="1:7" ht="21.75" customHeight="1" x14ac:dyDescent="0.4">
      <c r="A1" s="14" t="s">
        <v>340</v>
      </c>
    </row>
    <row r="2" spans="1:7" ht="15" customHeight="1" x14ac:dyDescent="0.35">
      <c r="A2" s="15" t="s">
        <v>341</v>
      </c>
    </row>
    <row r="4" spans="1:7" ht="61.5" customHeight="1" x14ac:dyDescent="0.35">
      <c r="B4" s="3" t="s">
        <v>342</v>
      </c>
      <c r="C4" s="3"/>
      <c r="D4" s="3"/>
      <c r="E4" s="3"/>
      <c r="F4" s="3"/>
      <c r="G4" s="3"/>
    </row>
    <row r="6" spans="1:7" ht="15" customHeight="1" x14ac:dyDescent="0.35">
      <c r="B6" s="16" t="s">
        <v>343</v>
      </c>
    </row>
    <row r="7" spans="1:7" ht="30" customHeight="1" x14ac:dyDescent="0.35">
      <c r="A7" s="17"/>
      <c r="B7" s="17" t="s">
        <v>344</v>
      </c>
      <c r="C7" s="17" t="s">
        <v>345</v>
      </c>
      <c r="D7" s="17" t="s">
        <v>346</v>
      </c>
      <c r="E7" s="17" t="s">
        <v>347</v>
      </c>
      <c r="F7" s="17" t="s">
        <v>348</v>
      </c>
      <c r="G7" s="17" t="s">
        <v>9</v>
      </c>
    </row>
    <row r="8" spans="1:7" ht="30" customHeight="1" x14ac:dyDescent="0.35">
      <c r="B8" s="18" t="s">
        <v>349</v>
      </c>
      <c r="C8" s="53">
        <v>10000</v>
      </c>
      <c r="D8" s="56">
        <v>4.5999999999999996</v>
      </c>
      <c r="E8" s="57">
        <v>485</v>
      </c>
      <c r="F8" s="58">
        <f t="shared" ref="F8:F13" si="0">D8/500</f>
        <v>9.1999999999999998E-3</v>
      </c>
      <c r="G8" s="20" t="s">
        <v>350</v>
      </c>
    </row>
    <row r="9" spans="1:7" ht="30" customHeight="1" x14ac:dyDescent="0.35">
      <c r="B9" s="18" t="s">
        <v>351</v>
      </c>
      <c r="C9" s="53">
        <v>30000</v>
      </c>
      <c r="D9" s="56">
        <v>18</v>
      </c>
      <c r="E9" s="57">
        <v>620</v>
      </c>
      <c r="F9" s="58">
        <f t="shared" si="0"/>
        <v>3.5999999999999997E-2</v>
      </c>
      <c r="G9" s="20" t="s">
        <v>352</v>
      </c>
    </row>
    <row r="10" spans="1:7" ht="30" customHeight="1" x14ac:dyDescent="0.35">
      <c r="B10" s="18" t="s">
        <v>353</v>
      </c>
      <c r="C10" s="53">
        <v>15000</v>
      </c>
      <c r="D10" s="56">
        <v>9.1</v>
      </c>
      <c r="E10" s="57">
        <v>634</v>
      </c>
      <c r="F10" s="58">
        <f t="shared" si="0"/>
        <v>1.8200000000000001E-2</v>
      </c>
      <c r="G10" s="20" t="s">
        <v>354</v>
      </c>
    </row>
    <row r="11" spans="1:7" ht="30" customHeight="1" x14ac:dyDescent="0.35">
      <c r="B11" s="18" t="s">
        <v>355</v>
      </c>
      <c r="C11" s="53">
        <v>150000</v>
      </c>
      <c r="D11" s="56">
        <v>64</v>
      </c>
      <c r="E11" s="57">
        <v>449</v>
      </c>
      <c r="F11" s="58">
        <f t="shared" si="0"/>
        <v>0.128</v>
      </c>
      <c r="G11" s="20" t="s">
        <v>356</v>
      </c>
    </row>
    <row r="12" spans="1:7" ht="33.75" customHeight="1" x14ac:dyDescent="0.35">
      <c r="B12" s="18" t="s">
        <v>357</v>
      </c>
      <c r="C12" s="53">
        <v>80000</v>
      </c>
      <c r="D12" s="56">
        <v>22</v>
      </c>
      <c r="E12" s="57">
        <v>294</v>
      </c>
      <c r="F12" s="58">
        <f t="shared" si="0"/>
        <v>4.3999999999999997E-2</v>
      </c>
      <c r="G12" s="20" t="s">
        <v>358</v>
      </c>
    </row>
    <row r="13" spans="1:7" ht="23.25" customHeight="1" x14ac:dyDescent="0.35">
      <c r="B13" s="34" t="s">
        <v>359</v>
      </c>
      <c r="C13" s="49"/>
      <c r="D13" s="59">
        <f>SUM(D8:D12)+8</f>
        <v>125.7</v>
      </c>
      <c r="E13" s="49"/>
      <c r="F13" s="60">
        <f t="shared" si="0"/>
        <v>0.25140000000000001</v>
      </c>
      <c r="G13" s="30" t="s">
        <v>360</v>
      </c>
    </row>
    <row r="14" spans="1:7" ht="15" customHeight="1" x14ac:dyDescent="0.35"/>
    <row r="15" spans="1:7" ht="30" customHeight="1" x14ac:dyDescent="0.35">
      <c r="B15" s="16" t="s">
        <v>361</v>
      </c>
    </row>
    <row r="16" spans="1:7" ht="27.75" customHeight="1" x14ac:dyDescent="0.35">
      <c r="A16" s="17"/>
      <c r="B16" s="17" t="s">
        <v>362</v>
      </c>
      <c r="C16" s="17" t="s">
        <v>363</v>
      </c>
      <c r="D16" s="17" t="s">
        <v>364</v>
      </c>
      <c r="E16" s="17" t="s">
        <v>365</v>
      </c>
      <c r="F16" s="10" t="s">
        <v>9</v>
      </c>
      <c r="G16" s="10"/>
    </row>
    <row r="17" spans="1:7" ht="27.75" customHeight="1" x14ac:dyDescent="0.35">
      <c r="B17" s="18" t="s">
        <v>349</v>
      </c>
      <c r="C17" s="52">
        <v>120</v>
      </c>
      <c r="D17" s="53">
        <v>485</v>
      </c>
      <c r="E17" s="56">
        <f>C17*D17/1048576</f>
        <v>5.550384521484375E-2</v>
      </c>
      <c r="F17" s="6" t="s">
        <v>366</v>
      </c>
      <c r="G17" s="6"/>
    </row>
    <row r="18" spans="1:7" ht="27.75" customHeight="1" x14ac:dyDescent="0.35">
      <c r="B18" s="18" t="s">
        <v>351</v>
      </c>
      <c r="C18" s="52">
        <v>3600</v>
      </c>
      <c r="D18" s="53">
        <v>620</v>
      </c>
      <c r="E18" s="56">
        <f>C18*D18/1048576</f>
        <v>2.12860107421875</v>
      </c>
      <c r="F18" s="6" t="s">
        <v>367</v>
      </c>
      <c r="G18" s="6"/>
    </row>
    <row r="19" spans="1:7" ht="27.75" customHeight="1" x14ac:dyDescent="0.35">
      <c r="B19" s="18" t="s">
        <v>353</v>
      </c>
      <c r="C19" s="52">
        <v>720</v>
      </c>
      <c r="D19" s="53">
        <v>634</v>
      </c>
      <c r="E19" s="56">
        <f>C19*D19/1048576</f>
        <v>0.435333251953125</v>
      </c>
      <c r="F19" s="6" t="s">
        <v>368</v>
      </c>
      <c r="G19" s="6"/>
    </row>
    <row r="20" spans="1:7" ht="15" customHeight="1" x14ac:dyDescent="0.35">
      <c r="B20" s="18" t="s">
        <v>355</v>
      </c>
      <c r="C20" s="52">
        <v>36000</v>
      </c>
      <c r="D20" s="53">
        <v>449</v>
      </c>
      <c r="E20" s="56">
        <f>C20*D20/1048576</f>
        <v>15.415191650390625</v>
      </c>
      <c r="F20" s="20" t="s">
        <v>369</v>
      </c>
      <c r="G20" s="42"/>
    </row>
    <row r="21" spans="1:7" ht="15" customHeight="1" x14ac:dyDescent="0.35">
      <c r="B21" s="18" t="s">
        <v>357</v>
      </c>
      <c r="C21" s="52">
        <v>960</v>
      </c>
      <c r="D21" s="53">
        <v>294</v>
      </c>
      <c r="E21" s="56">
        <f>C21*D21/1048576</f>
        <v>0.2691650390625</v>
      </c>
      <c r="F21" s="6" t="s">
        <v>370</v>
      </c>
      <c r="G21" s="6"/>
    </row>
    <row r="22" spans="1:7" ht="15" customHeight="1" x14ac:dyDescent="0.35">
      <c r="B22" s="34" t="s">
        <v>371</v>
      </c>
      <c r="C22" s="49"/>
      <c r="D22" s="49"/>
      <c r="E22" s="59">
        <f>SUM(E17:E21)</f>
        <v>18.303794860839844</v>
      </c>
    </row>
    <row r="23" spans="1:7" ht="15" customHeight="1" x14ac:dyDescent="0.35">
      <c r="B23" s="61" t="s">
        <v>372</v>
      </c>
      <c r="C23" s="21"/>
      <c r="D23" s="21"/>
      <c r="E23" s="62">
        <f>(500-8)/E22</f>
        <v>26.879671879005382</v>
      </c>
      <c r="F23" s="20" t="s">
        <v>373</v>
      </c>
      <c r="G23" s="42"/>
    </row>
    <row r="24" spans="1:7" ht="30" customHeight="1" x14ac:dyDescent="0.35">
      <c r="B24" s="1"/>
      <c r="C24" s="1"/>
      <c r="D24" s="1"/>
      <c r="E24" s="1"/>
      <c r="F24" s="1"/>
      <c r="G24" s="1"/>
    </row>
    <row r="25" spans="1:7" ht="24" customHeight="1" x14ac:dyDescent="0.35">
      <c r="B25" s="16" t="s">
        <v>374</v>
      </c>
    </row>
    <row r="26" spans="1:7" ht="27.75" customHeight="1" x14ac:dyDescent="0.35">
      <c r="B26" s="30" t="s">
        <v>375</v>
      </c>
      <c r="F26" s="1"/>
      <c r="G26" s="1"/>
    </row>
    <row r="27" spans="1:7" ht="27.75" customHeight="1" x14ac:dyDescent="0.35">
      <c r="A27" s="17"/>
      <c r="B27" s="17" t="s">
        <v>5</v>
      </c>
      <c r="C27" s="17" t="s">
        <v>26</v>
      </c>
      <c r="D27" s="17" t="s">
        <v>376</v>
      </c>
      <c r="E27" s="17"/>
      <c r="F27" s="10" t="s">
        <v>9</v>
      </c>
      <c r="G27" s="10"/>
    </row>
    <row r="28" spans="1:7" ht="27.75" customHeight="1" x14ac:dyDescent="0.35">
      <c r="B28" s="18" t="s">
        <v>377</v>
      </c>
      <c r="C28" s="52">
        <v>8</v>
      </c>
      <c r="D28" s="26" t="s">
        <v>378</v>
      </c>
      <c r="E28" s="21"/>
      <c r="F28" s="6" t="s">
        <v>379</v>
      </c>
      <c r="G28" s="6"/>
    </row>
    <row r="29" spans="1:7" ht="27.75" customHeight="1" x14ac:dyDescent="0.35">
      <c r="B29" s="18" t="s">
        <v>380</v>
      </c>
      <c r="C29" s="63">
        <v>0.5</v>
      </c>
      <c r="D29" s="26" t="s">
        <v>381</v>
      </c>
      <c r="E29" s="21"/>
      <c r="F29" s="6" t="s">
        <v>382</v>
      </c>
      <c r="G29" s="6"/>
    </row>
    <row r="30" spans="1:7" ht="27.75" customHeight="1" x14ac:dyDescent="0.35">
      <c r="B30" s="18" t="s">
        <v>383</v>
      </c>
      <c r="C30" s="53">
        <f>C17*10</f>
        <v>1200</v>
      </c>
      <c r="D30" s="26" t="s">
        <v>384</v>
      </c>
      <c r="E30" s="21"/>
      <c r="F30" s="6" t="s">
        <v>385</v>
      </c>
      <c r="G30" s="6"/>
    </row>
    <row r="31" spans="1:7" ht="27.75" customHeight="1" x14ac:dyDescent="0.35">
      <c r="B31" s="18" t="s">
        <v>386</v>
      </c>
      <c r="C31" s="64">
        <f>C30*C28*C29/1024</f>
        <v>4.6875</v>
      </c>
      <c r="D31" s="26" t="s">
        <v>387</v>
      </c>
      <c r="E31" s="21"/>
      <c r="F31" s="6"/>
      <c r="G31" s="6"/>
    </row>
    <row r="32" spans="1:7" ht="34.5" customHeight="1" x14ac:dyDescent="0.35">
      <c r="B32" s="18" t="s">
        <v>388</v>
      </c>
      <c r="C32" s="52">
        <v>10</v>
      </c>
      <c r="D32" s="26" t="s">
        <v>387</v>
      </c>
      <c r="E32" s="21"/>
      <c r="F32" s="20" t="s">
        <v>389</v>
      </c>
      <c r="G32" s="42"/>
    </row>
    <row r="33" spans="1:7" ht="124.5" customHeight="1" x14ac:dyDescent="0.35">
      <c r="B33" s="18" t="s">
        <v>390</v>
      </c>
      <c r="C33" s="65">
        <f>MAX(0,C31-C32)*0.015*'Assumptions &amp; Sources'!$C$6</f>
        <v>0</v>
      </c>
    </row>
    <row r="35" spans="1:7" ht="15" customHeight="1" x14ac:dyDescent="0.35">
      <c r="B35" s="5" t="s">
        <v>391</v>
      </c>
      <c r="C35" s="5"/>
      <c r="D35" s="5"/>
      <c r="E35" s="5"/>
      <c r="F35" s="5"/>
      <c r="G35" s="5"/>
    </row>
    <row r="37" spans="1:7" ht="53.25" customHeight="1" x14ac:dyDescent="0.35">
      <c r="B37" s="55" t="s">
        <v>392</v>
      </c>
    </row>
    <row r="39" spans="1:7" ht="15" customHeight="1" x14ac:dyDescent="0.35">
      <c r="B39" s="16" t="s">
        <v>393</v>
      </c>
    </row>
    <row r="40" spans="1:7" ht="15" customHeight="1" x14ac:dyDescent="0.35">
      <c r="A40" s="17"/>
      <c r="B40" s="17" t="s">
        <v>394</v>
      </c>
      <c r="C40" s="10" t="s">
        <v>395</v>
      </c>
      <c r="D40" s="10"/>
      <c r="E40" s="10"/>
      <c r="F40" s="10"/>
      <c r="G40" s="10"/>
    </row>
    <row r="41" spans="1:7" ht="31.5" customHeight="1" x14ac:dyDescent="0.35">
      <c r="B41" s="18" t="s">
        <v>396</v>
      </c>
      <c r="C41" s="6" t="s">
        <v>397</v>
      </c>
      <c r="D41" s="6"/>
      <c r="E41" s="6"/>
      <c r="F41" s="6"/>
      <c r="G41" s="6"/>
    </row>
    <row r="42" spans="1:7" ht="31.5" customHeight="1" x14ac:dyDescent="0.35">
      <c r="B42" s="18" t="s">
        <v>398</v>
      </c>
      <c r="C42" s="6" t="s">
        <v>399</v>
      </c>
      <c r="D42" s="6"/>
      <c r="E42" s="6"/>
      <c r="F42" s="6"/>
      <c r="G42" s="6"/>
    </row>
    <row r="43" spans="1:7" ht="31.5" customHeight="1" x14ac:dyDescent="0.35">
      <c r="B43" s="18" t="s">
        <v>400</v>
      </c>
      <c r="C43" s="6" t="s">
        <v>401</v>
      </c>
      <c r="D43" s="6"/>
      <c r="E43" s="6"/>
      <c r="F43" s="6"/>
      <c r="G43" s="6"/>
    </row>
    <row r="44" spans="1:7" ht="31.5" customHeight="1" x14ac:dyDescent="0.35">
      <c r="B44" s="18" t="s">
        <v>402</v>
      </c>
      <c r="C44" s="6" t="s">
        <v>403</v>
      </c>
      <c r="D44" s="6"/>
      <c r="E44" s="6"/>
      <c r="F44" s="6"/>
      <c r="G44" s="6"/>
    </row>
    <row r="46" spans="1:7" ht="99.75" customHeight="1" x14ac:dyDescent="0.35">
      <c r="B46" s="5" t="s">
        <v>404</v>
      </c>
      <c r="C46" s="5"/>
      <c r="D46" s="5"/>
      <c r="E46" s="5"/>
      <c r="F46" s="5"/>
      <c r="G46" s="5"/>
    </row>
  </sheetData>
  <mergeCells count="20">
    <mergeCell ref="C41:G41"/>
    <mergeCell ref="C42:G42"/>
    <mergeCell ref="C43:G43"/>
    <mergeCell ref="C44:G44"/>
    <mergeCell ref="B46:G46"/>
    <mergeCell ref="F29:G29"/>
    <mergeCell ref="F30:G30"/>
    <mergeCell ref="F31:G31"/>
    <mergeCell ref="B35:G35"/>
    <mergeCell ref="C40:G40"/>
    <mergeCell ref="F21:G21"/>
    <mergeCell ref="B24:G24"/>
    <mergeCell ref="F26:G26"/>
    <mergeCell ref="F27:G27"/>
    <mergeCell ref="F28:G28"/>
    <mergeCell ref="B4:G4"/>
    <mergeCell ref="F16:G16"/>
    <mergeCell ref="F17:G17"/>
    <mergeCell ref="F18:G18"/>
    <mergeCell ref="F19:G1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0"/>
  <sheetViews>
    <sheetView showGridLines="0" zoomScaleNormal="100" workbookViewId="0">
      <pane ySplit="3" topLeftCell="A4" activePane="bottomLeft" state="frozen"/>
      <selection pane="bottomLeft"/>
    </sheetView>
  </sheetViews>
  <sheetFormatPr defaultColWidth="8.6328125" defaultRowHeight="14.5" x14ac:dyDescent="0.35"/>
  <cols>
    <col min="1" max="1" width="3" customWidth="1"/>
    <col min="2" max="2" width="32" customWidth="1"/>
    <col min="3" max="4" width="33" customWidth="1"/>
    <col min="5" max="5" width="56" customWidth="1"/>
  </cols>
  <sheetData>
    <row r="1" spans="1:5" ht="21.75" customHeight="1" x14ac:dyDescent="0.4">
      <c r="A1" s="14" t="s">
        <v>405</v>
      </c>
    </row>
    <row r="2" spans="1:5" ht="15" customHeight="1" x14ac:dyDescent="0.35">
      <c r="A2" s="15" t="s">
        <v>406</v>
      </c>
    </row>
    <row r="4" spans="1:5" ht="55.5" customHeight="1" x14ac:dyDescent="0.35">
      <c r="B4" s="5" t="s">
        <v>407</v>
      </c>
      <c r="C4" s="5"/>
      <c r="D4" s="5"/>
      <c r="E4" s="5"/>
    </row>
    <row r="6" spans="1:5" ht="15" customHeight="1" x14ac:dyDescent="0.35">
      <c r="B6" s="16" t="s">
        <v>408</v>
      </c>
    </row>
    <row r="7" spans="1:5" ht="31.5" customHeight="1" x14ac:dyDescent="0.35">
      <c r="A7" s="17"/>
      <c r="B7" s="17" t="s">
        <v>409</v>
      </c>
      <c r="C7" s="17" t="s">
        <v>410</v>
      </c>
      <c r="D7" s="17" t="s">
        <v>411</v>
      </c>
      <c r="E7" s="17" t="s">
        <v>412</v>
      </c>
    </row>
    <row r="8" spans="1:5" ht="43.5" customHeight="1" x14ac:dyDescent="0.35">
      <c r="B8" s="18" t="s">
        <v>67</v>
      </c>
      <c r="C8" s="20" t="s">
        <v>413</v>
      </c>
      <c r="D8" s="66" t="s">
        <v>414</v>
      </c>
      <c r="E8" s="20" t="s">
        <v>415</v>
      </c>
    </row>
    <row r="9" spans="1:5" ht="43.5" customHeight="1" x14ac:dyDescent="0.35">
      <c r="B9" s="18" t="s">
        <v>69</v>
      </c>
      <c r="C9" s="20" t="s">
        <v>416</v>
      </c>
      <c r="D9" s="66" t="s">
        <v>417</v>
      </c>
      <c r="E9" s="20" t="s">
        <v>418</v>
      </c>
    </row>
    <row r="10" spans="1:5" ht="43.5" customHeight="1" x14ac:dyDescent="0.35">
      <c r="B10" s="18" t="s">
        <v>190</v>
      </c>
      <c r="C10" s="20" t="s">
        <v>419</v>
      </c>
      <c r="D10" s="66" t="s">
        <v>420</v>
      </c>
      <c r="E10" s="20" t="s">
        <v>421</v>
      </c>
    </row>
    <row r="11" spans="1:5" ht="43.5" customHeight="1" x14ac:dyDescent="0.35">
      <c r="B11" s="18" t="s">
        <v>192</v>
      </c>
      <c r="C11" s="20" t="s">
        <v>422</v>
      </c>
      <c r="D11" s="66" t="s">
        <v>423</v>
      </c>
      <c r="E11" s="20" t="s">
        <v>424</v>
      </c>
    </row>
    <row r="12" spans="1:5" ht="43.5" customHeight="1" x14ac:dyDescent="0.35">
      <c r="B12" s="18" t="s">
        <v>425</v>
      </c>
      <c r="C12" s="20" t="s">
        <v>426</v>
      </c>
      <c r="D12" s="66" t="s">
        <v>427</v>
      </c>
      <c r="E12" s="20" t="s">
        <v>428</v>
      </c>
    </row>
    <row r="13" spans="1:5" ht="43.5" customHeight="1" x14ac:dyDescent="0.35">
      <c r="B13" s="18" t="s">
        <v>79</v>
      </c>
      <c r="C13" s="20" t="s">
        <v>429</v>
      </c>
      <c r="D13" s="66" t="s">
        <v>430</v>
      </c>
      <c r="E13" s="20" t="s">
        <v>431</v>
      </c>
    </row>
    <row r="15" spans="1:5" ht="15" customHeight="1" x14ac:dyDescent="0.35">
      <c r="B15" s="16" t="s">
        <v>432</v>
      </c>
    </row>
    <row r="16" spans="1:5" ht="31.5" customHeight="1" x14ac:dyDescent="0.35">
      <c r="A16" s="17"/>
      <c r="B16" s="17" t="s">
        <v>433</v>
      </c>
      <c r="C16" s="17" t="s">
        <v>268</v>
      </c>
      <c r="D16" s="17" t="s">
        <v>434</v>
      </c>
      <c r="E16" s="17" t="s">
        <v>9</v>
      </c>
    </row>
    <row r="17" spans="1:5" ht="36" customHeight="1" x14ac:dyDescent="0.35">
      <c r="B17" s="18" t="s">
        <v>435</v>
      </c>
      <c r="C17" s="20" t="s">
        <v>436</v>
      </c>
      <c r="D17" s="33">
        <v>49</v>
      </c>
      <c r="E17" s="20" t="s">
        <v>437</v>
      </c>
    </row>
    <row r="18" spans="1:5" ht="36" customHeight="1" x14ac:dyDescent="0.35">
      <c r="B18" s="18" t="s">
        <v>438</v>
      </c>
      <c r="C18" s="20" t="s">
        <v>439</v>
      </c>
      <c r="D18" s="33">
        <v>45</v>
      </c>
      <c r="E18" s="20" t="s">
        <v>440</v>
      </c>
    </row>
    <row r="19" spans="1:5" ht="36" customHeight="1" x14ac:dyDescent="0.35">
      <c r="B19" s="61" t="s">
        <v>232</v>
      </c>
      <c r="C19" s="67" t="s">
        <v>441</v>
      </c>
      <c r="D19" s="68">
        <v>60</v>
      </c>
      <c r="E19" s="67" t="s">
        <v>442</v>
      </c>
    </row>
    <row r="20" spans="1:5" ht="36" customHeight="1" x14ac:dyDescent="0.35">
      <c r="B20" s="18" t="s">
        <v>443</v>
      </c>
      <c r="C20" s="20" t="s">
        <v>436</v>
      </c>
      <c r="D20" s="33">
        <v>59</v>
      </c>
      <c r="E20" s="20" t="s">
        <v>444</v>
      </c>
    </row>
    <row r="21" spans="1:5" ht="36" customHeight="1" x14ac:dyDescent="0.35">
      <c r="B21" s="18" t="s">
        <v>445</v>
      </c>
      <c r="C21" s="20" t="s">
        <v>436</v>
      </c>
      <c r="D21" s="33">
        <v>75</v>
      </c>
      <c r="E21" s="20" t="s">
        <v>446</v>
      </c>
    </row>
    <row r="22" spans="1:5" ht="36" customHeight="1" x14ac:dyDescent="0.35">
      <c r="B22" s="18" t="s">
        <v>447</v>
      </c>
      <c r="C22" s="20" t="s">
        <v>448</v>
      </c>
      <c r="D22" s="69" t="s">
        <v>449</v>
      </c>
      <c r="E22" s="20" t="s">
        <v>450</v>
      </c>
    </row>
    <row r="24" spans="1:5" ht="15" customHeight="1" x14ac:dyDescent="0.35">
      <c r="B24" s="16" t="s">
        <v>451</v>
      </c>
    </row>
    <row r="25" spans="1:5" ht="31.5" customHeight="1" x14ac:dyDescent="0.35">
      <c r="A25" s="17"/>
      <c r="B25" s="17" t="s">
        <v>5</v>
      </c>
      <c r="C25" s="17" t="s">
        <v>452</v>
      </c>
      <c r="D25" s="17" t="s">
        <v>453</v>
      </c>
      <c r="E25" s="17" t="s">
        <v>454</v>
      </c>
    </row>
    <row r="26" spans="1:5" ht="15" customHeight="1" x14ac:dyDescent="0.35">
      <c r="B26" s="18" t="s">
        <v>455</v>
      </c>
      <c r="C26" s="19">
        <f>'Cost Comparison'!D14</f>
        <v>102</v>
      </c>
      <c r="D26" s="19">
        <f>'Cost Comparison'!G14</f>
        <v>92</v>
      </c>
      <c r="E26" s="70">
        <f>D26-C26</f>
        <v>-10</v>
      </c>
    </row>
    <row r="27" spans="1:5" ht="15" customHeight="1" x14ac:dyDescent="0.35">
      <c r="B27" s="18" t="s">
        <v>456</v>
      </c>
      <c r="C27" s="19">
        <f>'Cost Comparison'!D15</f>
        <v>1224</v>
      </c>
      <c r="D27" s="19">
        <f>'Cost Comparison'!G15</f>
        <v>1104</v>
      </c>
      <c r="E27" s="70">
        <f>D27-C27</f>
        <v>-120</v>
      </c>
    </row>
    <row r="28" spans="1:5" ht="15" customHeight="1" x14ac:dyDescent="0.35">
      <c r="B28" s="18" t="s">
        <v>457</v>
      </c>
      <c r="C28" s="19">
        <f>'Cost Comparison'!D16</f>
        <v>3672</v>
      </c>
      <c r="D28" s="19">
        <f>'Cost Comparison'!G16</f>
        <v>3312</v>
      </c>
      <c r="E28" s="70">
        <f>D28-C28</f>
        <v>-360</v>
      </c>
    </row>
    <row r="30" spans="1:5" ht="57.75" customHeight="1" x14ac:dyDescent="0.35">
      <c r="B30" s="5" t="s">
        <v>458</v>
      </c>
      <c r="C30" s="5"/>
      <c r="D30" s="5"/>
      <c r="E30" s="5"/>
    </row>
  </sheetData>
  <mergeCells count="2">
    <mergeCell ref="B4:E4"/>
    <mergeCell ref="B30:E3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1"/>
  <sheetViews>
    <sheetView showGridLines="0" zoomScaleNormal="100" workbookViewId="0">
      <pane ySplit="3" topLeftCell="A4" activePane="bottomLeft" state="frozen"/>
      <selection pane="bottomLeft"/>
    </sheetView>
  </sheetViews>
  <sheetFormatPr defaultColWidth="8.6328125" defaultRowHeight="14.5" x14ac:dyDescent="0.35"/>
  <cols>
    <col min="1" max="1" width="3" customWidth="1"/>
    <col min="2" max="2" width="12" customWidth="1"/>
    <col min="3" max="3" width="36" customWidth="1"/>
    <col min="4" max="4" width="12" customWidth="1"/>
    <col min="5" max="5" width="80" customWidth="1"/>
  </cols>
  <sheetData>
    <row r="1" spans="1:5" ht="21.75" customHeight="1" x14ac:dyDescent="0.4">
      <c r="A1" s="14" t="s">
        <v>459</v>
      </c>
    </row>
    <row r="2" spans="1:5" ht="15" customHeight="1" x14ac:dyDescent="0.35">
      <c r="A2" s="15" t="s">
        <v>460</v>
      </c>
    </row>
    <row r="4" spans="1:5" ht="31.5" customHeight="1" x14ac:dyDescent="0.35">
      <c r="A4" s="17"/>
      <c r="B4" s="17" t="s">
        <v>461</v>
      </c>
      <c r="C4" s="17" t="s">
        <v>462</v>
      </c>
      <c r="D4" s="17" t="s">
        <v>463</v>
      </c>
      <c r="E4" s="17" t="s">
        <v>464</v>
      </c>
    </row>
    <row r="5" spans="1:5" ht="48" customHeight="1" x14ac:dyDescent="0.35">
      <c r="B5" s="18" t="s">
        <v>465</v>
      </c>
      <c r="C5" s="20" t="s">
        <v>466</v>
      </c>
      <c r="D5" s="71" t="s">
        <v>467</v>
      </c>
      <c r="E5" s="20" t="s">
        <v>468</v>
      </c>
    </row>
    <row r="6" spans="1:5" ht="48" customHeight="1" x14ac:dyDescent="0.35">
      <c r="B6" s="18" t="s">
        <v>469</v>
      </c>
      <c r="C6" s="20" t="s">
        <v>470</v>
      </c>
      <c r="D6" s="71" t="s">
        <v>467</v>
      </c>
      <c r="E6" s="20" t="s">
        <v>471</v>
      </c>
    </row>
    <row r="7" spans="1:5" ht="48" customHeight="1" x14ac:dyDescent="0.35">
      <c r="B7" s="18" t="s">
        <v>472</v>
      </c>
      <c r="C7" s="20" t="s">
        <v>473</v>
      </c>
      <c r="D7" s="72" t="s">
        <v>474</v>
      </c>
      <c r="E7" s="20" t="s">
        <v>475</v>
      </c>
    </row>
    <row r="8" spans="1:5" ht="48" customHeight="1" x14ac:dyDescent="0.35">
      <c r="B8" s="18" t="s">
        <v>476</v>
      </c>
      <c r="C8" s="20" t="s">
        <v>477</v>
      </c>
      <c r="D8" s="72" t="s">
        <v>474</v>
      </c>
      <c r="E8" s="20" t="s">
        <v>478</v>
      </c>
    </row>
    <row r="9" spans="1:5" ht="48" customHeight="1" x14ac:dyDescent="0.35">
      <c r="B9" s="18" t="s">
        <v>479</v>
      </c>
      <c r="C9" s="20" t="s">
        <v>480</v>
      </c>
      <c r="D9" s="72" t="s">
        <v>474</v>
      </c>
      <c r="E9" s="20" t="s">
        <v>481</v>
      </c>
    </row>
    <row r="10" spans="1:5" ht="48" customHeight="1" x14ac:dyDescent="0.35">
      <c r="B10" s="18" t="s">
        <v>482</v>
      </c>
      <c r="C10" s="20" t="s">
        <v>483</v>
      </c>
      <c r="D10" s="73" t="s">
        <v>484</v>
      </c>
      <c r="E10" s="20" t="s">
        <v>485</v>
      </c>
    </row>
    <row r="11" spans="1:5" ht="48" customHeight="1" x14ac:dyDescent="0.35">
      <c r="B11" s="18" t="s">
        <v>486</v>
      </c>
      <c r="C11" s="20" t="s">
        <v>487</v>
      </c>
      <c r="D11" s="73" t="s">
        <v>484</v>
      </c>
      <c r="E11" s="20" t="s">
        <v>488</v>
      </c>
    </row>
    <row r="12" spans="1:5" ht="48" customHeight="1" x14ac:dyDescent="0.35">
      <c r="B12" s="18" t="s">
        <v>489</v>
      </c>
      <c r="C12" s="20" t="s">
        <v>490</v>
      </c>
      <c r="D12" s="73" t="s">
        <v>484</v>
      </c>
      <c r="E12" s="20" t="s">
        <v>491</v>
      </c>
    </row>
    <row r="14" spans="1:5" ht="15" customHeight="1" x14ac:dyDescent="0.35">
      <c r="B14" s="16" t="s">
        <v>492</v>
      </c>
    </row>
    <row r="15" spans="1:5" ht="31.5" customHeight="1" x14ac:dyDescent="0.35">
      <c r="A15" s="17"/>
      <c r="B15" s="17" t="s">
        <v>493</v>
      </c>
      <c r="C15" s="17" t="s">
        <v>494</v>
      </c>
      <c r="D15" s="17"/>
      <c r="E15" s="17"/>
    </row>
    <row r="16" spans="1:5" ht="30" customHeight="1" x14ac:dyDescent="0.35">
      <c r="B16" s="18" t="s">
        <v>92</v>
      </c>
      <c r="C16" s="6" t="s">
        <v>495</v>
      </c>
      <c r="D16" s="6"/>
      <c r="E16" s="6"/>
    </row>
    <row r="17" spans="2:5" ht="30" customHeight="1" x14ac:dyDescent="0.35">
      <c r="B17" s="18" t="s">
        <v>93</v>
      </c>
      <c r="C17" s="6" t="s">
        <v>496</v>
      </c>
      <c r="D17" s="6"/>
      <c r="E17" s="6"/>
    </row>
    <row r="18" spans="2:5" ht="30" customHeight="1" x14ac:dyDescent="0.35">
      <c r="B18" s="18" t="s">
        <v>94</v>
      </c>
      <c r="C18" s="6" t="s">
        <v>497</v>
      </c>
      <c r="D18" s="6"/>
      <c r="E18" s="6"/>
    </row>
    <row r="19" spans="2:5" ht="30" customHeight="1" x14ac:dyDescent="0.35">
      <c r="B19" s="18" t="s">
        <v>95</v>
      </c>
      <c r="C19" s="6" t="s">
        <v>498</v>
      </c>
      <c r="D19" s="6"/>
      <c r="E19" s="6"/>
    </row>
    <row r="21" spans="2:5" ht="43.5" customHeight="1" x14ac:dyDescent="0.35">
      <c r="B21" s="5" t="s">
        <v>499</v>
      </c>
      <c r="C21" s="5"/>
      <c r="D21" s="5"/>
      <c r="E21" s="5"/>
    </row>
  </sheetData>
  <mergeCells count="5">
    <mergeCell ref="C16:E16"/>
    <mergeCell ref="C17:E17"/>
    <mergeCell ref="C18:E18"/>
    <mergeCell ref="C19:E19"/>
    <mergeCell ref="B21:E2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0"/>
  <sheetViews>
    <sheetView showGridLines="0" zoomScaleNormal="100" workbookViewId="0">
      <pane ySplit="3" topLeftCell="A4" activePane="bottomLeft" state="frozen"/>
      <selection pane="bottomLeft"/>
    </sheetView>
  </sheetViews>
  <sheetFormatPr defaultColWidth="8.6328125" defaultRowHeight="14.5" x14ac:dyDescent="0.35"/>
  <cols>
    <col min="1" max="1" width="3" customWidth="1"/>
    <col min="2" max="2" width="7" customWidth="1"/>
    <col min="3" max="3" width="34" customWidth="1"/>
    <col min="4" max="4" width="13" customWidth="1"/>
    <col min="5" max="5" width="66" customWidth="1"/>
    <col min="6" max="6" width="14" customWidth="1"/>
  </cols>
  <sheetData>
    <row r="1" spans="1:6" ht="21.75" customHeight="1" x14ac:dyDescent="0.4">
      <c r="A1" s="14" t="s">
        <v>500</v>
      </c>
    </row>
    <row r="2" spans="1:6" ht="15" customHeight="1" x14ac:dyDescent="0.35">
      <c r="A2" s="15" t="s">
        <v>501</v>
      </c>
    </row>
    <row r="4" spans="1:6" ht="31.5" customHeight="1" x14ac:dyDescent="0.35">
      <c r="A4" s="17"/>
      <c r="B4" s="17" t="s">
        <v>502</v>
      </c>
      <c r="C4" s="17" t="s">
        <v>503</v>
      </c>
      <c r="D4" s="17" t="s">
        <v>504</v>
      </c>
      <c r="E4" s="17" t="s">
        <v>505</v>
      </c>
      <c r="F4" s="17" t="s">
        <v>506</v>
      </c>
    </row>
    <row r="5" spans="1:6" ht="48" customHeight="1" x14ac:dyDescent="0.35">
      <c r="B5" s="74" t="s">
        <v>507</v>
      </c>
      <c r="C5" s="75" t="s">
        <v>508</v>
      </c>
      <c r="D5" s="71" t="s">
        <v>467</v>
      </c>
      <c r="E5" s="20" t="s">
        <v>509</v>
      </c>
      <c r="F5" s="24" t="s">
        <v>469</v>
      </c>
    </row>
    <row r="6" spans="1:6" ht="48" customHeight="1" x14ac:dyDescent="0.35">
      <c r="B6" s="74" t="s">
        <v>510</v>
      </c>
      <c r="C6" s="75" t="s">
        <v>511</v>
      </c>
      <c r="D6" s="71" t="s">
        <v>467</v>
      </c>
      <c r="E6" s="20" t="s">
        <v>512</v>
      </c>
      <c r="F6" s="24" t="s">
        <v>469</v>
      </c>
    </row>
    <row r="7" spans="1:6" ht="48" customHeight="1" x14ac:dyDescent="0.35">
      <c r="B7" s="74" t="s">
        <v>513</v>
      </c>
      <c r="C7" s="75" t="s">
        <v>514</v>
      </c>
      <c r="D7" s="76" t="s">
        <v>474</v>
      </c>
      <c r="E7" s="20" t="s">
        <v>515</v>
      </c>
      <c r="F7" s="24" t="s">
        <v>516</v>
      </c>
    </row>
    <row r="8" spans="1:6" ht="48" customHeight="1" x14ac:dyDescent="0.35">
      <c r="B8" s="74" t="s">
        <v>517</v>
      </c>
      <c r="C8" s="75" t="s">
        <v>518</v>
      </c>
      <c r="D8" s="76" t="s">
        <v>474</v>
      </c>
      <c r="E8" s="20" t="s">
        <v>519</v>
      </c>
      <c r="F8" s="24" t="s">
        <v>469</v>
      </c>
    </row>
    <row r="9" spans="1:6" ht="48" customHeight="1" x14ac:dyDescent="0.35">
      <c r="B9" s="74" t="s">
        <v>520</v>
      </c>
      <c r="C9" s="75" t="s">
        <v>521</v>
      </c>
      <c r="D9" s="76" t="s">
        <v>474</v>
      </c>
      <c r="E9" s="20" t="s">
        <v>522</v>
      </c>
      <c r="F9" s="24" t="s">
        <v>465</v>
      </c>
    </row>
    <row r="10" spans="1:6" ht="48" customHeight="1" x14ac:dyDescent="0.35">
      <c r="B10" s="74" t="s">
        <v>523</v>
      </c>
      <c r="C10" s="75" t="s">
        <v>524</v>
      </c>
      <c r="D10" s="76" t="s">
        <v>474</v>
      </c>
      <c r="E10" s="20" t="s">
        <v>525</v>
      </c>
      <c r="F10" s="24" t="s">
        <v>479</v>
      </c>
    </row>
    <row r="11" spans="1:6" ht="48" customHeight="1" x14ac:dyDescent="0.35">
      <c r="B11" s="74" t="s">
        <v>526</v>
      </c>
      <c r="C11" s="75" t="s">
        <v>527</v>
      </c>
      <c r="D11" s="72" t="s">
        <v>484</v>
      </c>
      <c r="E11" s="20" t="s">
        <v>528</v>
      </c>
      <c r="F11" s="24" t="s">
        <v>479</v>
      </c>
    </row>
    <row r="12" spans="1:6" ht="48" customHeight="1" x14ac:dyDescent="0.35">
      <c r="B12" s="74" t="s">
        <v>529</v>
      </c>
      <c r="C12" s="75" t="s">
        <v>530</v>
      </c>
      <c r="D12" s="72" t="s">
        <v>484</v>
      </c>
      <c r="E12" s="20" t="s">
        <v>531</v>
      </c>
      <c r="F12" s="24" t="s">
        <v>479</v>
      </c>
    </row>
    <row r="13" spans="1:6" ht="48" customHeight="1" x14ac:dyDescent="0.35">
      <c r="B13" s="74" t="s">
        <v>532</v>
      </c>
      <c r="C13" s="75" t="s">
        <v>533</v>
      </c>
      <c r="D13" s="72" t="s">
        <v>484</v>
      </c>
      <c r="E13" s="20" t="s">
        <v>534</v>
      </c>
      <c r="F13" s="24" t="s">
        <v>482</v>
      </c>
    </row>
    <row r="14" spans="1:6" ht="48" customHeight="1" x14ac:dyDescent="0.35">
      <c r="B14" s="74" t="s">
        <v>535</v>
      </c>
      <c r="C14" s="75" t="s">
        <v>536</v>
      </c>
      <c r="D14" s="72" t="s">
        <v>484</v>
      </c>
      <c r="E14" s="20" t="s">
        <v>537</v>
      </c>
      <c r="F14" s="24" t="s">
        <v>486</v>
      </c>
    </row>
    <row r="15" spans="1:6" ht="48" customHeight="1" x14ac:dyDescent="0.35">
      <c r="B15" s="74" t="s">
        <v>538</v>
      </c>
      <c r="C15" s="75" t="s">
        <v>539</v>
      </c>
      <c r="D15" s="73" t="s">
        <v>540</v>
      </c>
      <c r="E15" s="20" t="s">
        <v>541</v>
      </c>
      <c r="F15" s="24" t="s">
        <v>482</v>
      </c>
    </row>
    <row r="16" spans="1:6" ht="48" customHeight="1" x14ac:dyDescent="0.35">
      <c r="B16" s="74" t="s">
        <v>542</v>
      </c>
      <c r="C16" s="75" t="s">
        <v>543</v>
      </c>
      <c r="D16" s="73" t="s">
        <v>540</v>
      </c>
      <c r="E16" s="20" t="s">
        <v>544</v>
      </c>
      <c r="F16" s="24" t="s">
        <v>489</v>
      </c>
    </row>
    <row r="17" spans="2:6" ht="54" customHeight="1" x14ac:dyDescent="0.35">
      <c r="B17" s="74" t="s">
        <v>545</v>
      </c>
      <c r="C17" s="75" t="s">
        <v>546</v>
      </c>
      <c r="D17" s="76" t="s">
        <v>474</v>
      </c>
      <c r="E17" s="20" t="s">
        <v>547</v>
      </c>
      <c r="F17" s="24" t="s">
        <v>548</v>
      </c>
    </row>
    <row r="18" spans="2:6" ht="34.5" customHeight="1" x14ac:dyDescent="0.35">
      <c r="B18" s="74" t="s">
        <v>549</v>
      </c>
      <c r="C18" s="75" t="s">
        <v>550</v>
      </c>
      <c r="D18" s="73" t="s">
        <v>551</v>
      </c>
      <c r="E18" s="20" t="s">
        <v>552</v>
      </c>
      <c r="F18" s="24" t="s">
        <v>553</v>
      </c>
    </row>
    <row r="19" spans="2:6" ht="15" customHeight="1" x14ac:dyDescent="0.35"/>
    <row r="20" spans="2:6" ht="15" customHeight="1" x14ac:dyDescent="0.35">
      <c r="C20" s="77" t="s">
        <v>554</v>
      </c>
      <c r="D20" s="71">
        <f>COUNTIF(D5:D17,"Critical")+COUNTIF(D5:D17,"High")</f>
        <v>7</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1"/>
  <sheetViews>
    <sheetView showGridLines="0" zoomScaleNormal="100" workbookViewId="0">
      <pane ySplit="3" topLeftCell="A4" activePane="bottomLeft" state="frozen"/>
      <selection pane="bottomLeft"/>
    </sheetView>
  </sheetViews>
  <sheetFormatPr defaultColWidth="8.6328125" defaultRowHeight="14.5" x14ac:dyDescent="0.35"/>
  <cols>
    <col min="1" max="1" width="3" customWidth="1"/>
    <col min="2" max="2" width="46" customWidth="1"/>
    <col min="3" max="3" width="16" customWidth="1"/>
    <col min="4" max="4" width="74" customWidth="1"/>
  </cols>
  <sheetData>
    <row r="1" spans="1:4" ht="21.75" customHeight="1" x14ac:dyDescent="0.4">
      <c r="A1" s="14" t="s">
        <v>555</v>
      </c>
    </row>
    <row r="2" spans="1:4" ht="15" customHeight="1" x14ac:dyDescent="0.35">
      <c r="A2" s="15" t="s">
        <v>556</v>
      </c>
    </row>
    <row r="4" spans="1:4" ht="15" customHeight="1" x14ac:dyDescent="0.35">
      <c r="B4" s="16" t="s">
        <v>557</v>
      </c>
    </row>
    <row r="5" spans="1:4" ht="31.5" customHeight="1" x14ac:dyDescent="0.35">
      <c r="A5" s="17"/>
      <c r="B5" s="17" t="s">
        <v>558</v>
      </c>
      <c r="C5" s="17" t="s">
        <v>26</v>
      </c>
      <c r="D5" s="17" t="s">
        <v>559</v>
      </c>
    </row>
    <row r="6" spans="1:4" ht="36" customHeight="1" x14ac:dyDescent="0.35">
      <c r="B6" s="18" t="s">
        <v>560</v>
      </c>
      <c r="C6" s="78">
        <v>4.75</v>
      </c>
      <c r="D6" s="20" t="s">
        <v>561</v>
      </c>
    </row>
    <row r="7" spans="1:4" ht="36" customHeight="1" x14ac:dyDescent="0.35">
      <c r="B7" s="18" t="s">
        <v>562</v>
      </c>
      <c r="C7" s="79">
        <v>5</v>
      </c>
      <c r="D7" s="20" t="s">
        <v>563</v>
      </c>
    </row>
    <row r="9" spans="1:4" ht="15" customHeight="1" x14ac:dyDescent="0.35">
      <c r="B9" s="16" t="s">
        <v>564</v>
      </c>
    </row>
    <row r="10" spans="1:4" ht="31.5" customHeight="1" x14ac:dyDescent="0.35">
      <c r="A10" s="17"/>
      <c r="B10" s="17" t="s">
        <v>25</v>
      </c>
      <c r="C10" s="17" t="s">
        <v>565</v>
      </c>
      <c r="D10" s="17" t="s">
        <v>566</v>
      </c>
    </row>
    <row r="11" spans="1:4" ht="42" customHeight="1" x14ac:dyDescent="0.35">
      <c r="B11" s="18" t="s">
        <v>567</v>
      </c>
      <c r="C11" s="24" t="s">
        <v>568</v>
      </c>
      <c r="D11" s="20" t="s">
        <v>569</v>
      </c>
    </row>
    <row r="12" spans="1:4" ht="42" customHeight="1" x14ac:dyDescent="0.35">
      <c r="B12" s="18" t="s">
        <v>570</v>
      </c>
      <c r="C12" s="24" t="s">
        <v>571</v>
      </c>
      <c r="D12" s="20" t="s">
        <v>572</v>
      </c>
    </row>
    <row r="13" spans="1:4" ht="42" customHeight="1" x14ac:dyDescent="0.35">
      <c r="B13" s="18" t="s">
        <v>573</v>
      </c>
      <c r="C13" s="24" t="s">
        <v>568</v>
      </c>
      <c r="D13" s="20" t="s">
        <v>574</v>
      </c>
    </row>
    <row r="14" spans="1:4" ht="42" customHeight="1" x14ac:dyDescent="0.35">
      <c r="B14" s="18" t="s">
        <v>575</v>
      </c>
      <c r="C14" s="24" t="s">
        <v>576</v>
      </c>
      <c r="D14" s="20" t="s">
        <v>577</v>
      </c>
    </row>
    <row r="15" spans="1:4" ht="42" customHeight="1" x14ac:dyDescent="0.35">
      <c r="B15" s="18" t="s">
        <v>578</v>
      </c>
      <c r="C15" s="24" t="s">
        <v>579</v>
      </c>
      <c r="D15" s="20" t="s">
        <v>580</v>
      </c>
    </row>
    <row r="16" spans="1:4" ht="42" customHeight="1" x14ac:dyDescent="0.35">
      <c r="B16" s="18" t="s">
        <v>581</v>
      </c>
      <c r="C16" s="24" t="s">
        <v>582</v>
      </c>
      <c r="D16" s="20" t="s">
        <v>583</v>
      </c>
    </row>
    <row r="17" spans="2:4" ht="42" customHeight="1" x14ac:dyDescent="0.35">
      <c r="B17" s="18" t="s">
        <v>584</v>
      </c>
      <c r="C17" s="24" t="s">
        <v>585</v>
      </c>
      <c r="D17" s="20" t="s">
        <v>586</v>
      </c>
    </row>
    <row r="18" spans="2:4" ht="42" customHeight="1" x14ac:dyDescent="0.35">
      <c r="B18" s="18" t="s">
        <v>587</v>
      </c>
      <c r="C18" s="24" t="s">
        <v>588</v>
      </c>
      <c r="D18" s="20" t="s">
        <v>589</v>
      </c>
    </row>
    <row r="19" spans="2:4" ht="42" customHeight="1" x14ac:dyDescent="0.35">
      <c r="B19" s="18" t="s">
        <v>590</v>
      </c>
      <c r="C19" s="24" t="s">
        <v>568</v>
      </c>
      <c r="D19" s="20" t="s">
        <v>591</v>
      </c>
    </row>
    <row r="20" spans="2:4" ht="42" customHeight="1" x14ac:dyDescent="0.35">
      <c r="B20" s="18" t="s">
        <v>592</v>
      </c>
      <c r="C20" s="24" t="s">
        <v>568</v>
      </c>
      <c r="D20" s="20" t="s">
        <v>593</v>
      </c>
    </row>
    <row r="21" spans="2:4" ht="42" customHeight="1" x14ac:dyDescent="0.35">
      <c r="B21" s="18" t="s">
        <v>594</v>
      </c>
      <c r="C21" s="24" t="s">
        <v>568</v>
      </c>
      <c r="D21" s="20" t="s">
        <v>595</v>
      </c>
    </row>
    <row r="22" spans="2:4" ht="42" customHeight="1" x14ac:dyDescent="0.35">
      <c r="B22" s="18" t="s">
        <v>81</v>
      </c>
      <c r="C22" s="24" t="s">
        <v>596</v>
      </c>
      <c r="D22" s="20" t="s">
        <v>597</v>
      </c>
    </row>
    <row r="23" spans="2:4" ht="42" customHeight="1" x14ac:dyDescent="0.35">
      <c r="B23" s="18" t="s">
        <v>83</v>
      </c>
      <c r="C23" s="24" t="s">
        <v>598</v>
      </c>
      <c r="D23" s="20" t="s">
        <v>599</v>
      </c>
    </row>
    <row r="25" spans="2:4" ht="15" customHeight="1" x14ac:dyDescent="0.35">
      <c r="B25" s="16" t="s">
        <v>600</v>
      </c>
    </row>
    <row r="26" spans="2:4" ht="27.75" customHeight="1" x14ac:dyDescent="0.35">
      <c r="B26" s="12" t="s">
        <v>601</v>
      </c>
      <c r="C26" s="12"/>
      <c r="D26" s="12"/>
    </row>
    <row r="27" spans="2:4" ht="27.75" customHeight="1" x14ac:dyDescent="0.35">
      <c r="B27" s="12" t="s">
        <v>602</v>
      </c>
      <c r="C27" s="12"/>
      <c r="D27" s="12"/>
    </row>
    <row r="28" spans="2:4" ht="27.75" customHeight="1" x14ac:dyDescent="0.35">
      <c r="B28" s="12" t="s">
        <v>603</v>
      </c>
      <c r="C28" s="12"/>
      <c r="D28" s="12"/>
    </row>
    <row r="29" spans="2:4" ht="27.75" customHeight="1" x14ac:dyDescent="0.35">
      <c r="B29" s="12" t="s">
        <v>604</v>
      </c>
      <c r="C29" s="12"/>
      <c r="D29" s="12"/>
    </row>
    <row r="31" spans="2:4" ht="42" customHeight="1" x14ac:dyDescent="0.35">
      <c r="B31" s="12" t="s">
        <v>605</v>
      </c>
      <c r="C31" s="12"/>
      <c r="D31" s="12"/>
    </row>
  </sheetData>
  <mergeCells count="5">
    <mergeCell ref="B26:D26"/>
    <mergeCell ref="B27:D27"/>
    <mergeCell ref="B28:D28"/>
    <mergeCell ref="B29:D29"/>
    <mergeCell ref="B31:D3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Executive Summary</vt:lpstr>
      <vt:lpstr>Cost Comparison</vt:lpstr>
      <vt:lpstr>What Each Option Includes</vt:lpstr>
      <vt:lpstr>Specification Comparison</vt:lpstr>
      <vt:lpstr>Capacity Check</vt:lpstr>
      <vt:lpstr>Data Residency Options</vt:lpstr>
      <vt:lpstr>Implementation Plan</vt:lpstr>
      <vt:lpstr>Risks &amp; Findings</vt:lpstr>
      <vt:lpstr>Assumptions &amp;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Rodney Liong</cp:lastModifiedBy>
  <cp:revision>0</cp:revision>
  <dcterms:created xsi:type="dcterms:W3CDTF">2026-08-10T08:10:59Z</dcterms:created>
  <dcterms:modified xsi:type="dcterms:W3CDTF">2026-08-10T08:44:26Z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2916346-cfdf-4394-a9ee-6d3664b9c762_Enabled">
    <vt:lpwstr>true</vt:lpwstr>
  </property>
  <property fmtid="{D5CDD505-2E9C-101B-9397-08002B2CF9AE}" pid="3" name="MSIP_Label_62916346-cfdf-4394-a9ee-6d3664b9c762_SetDate">
    <vt:lpwstr>2026-08-10T08:44:26Z</vt:lpwstr>
  </property>
  <property fmtid="{D5CDD505-2E9C-101B-9397-08002B2CF9AE}" pid="4" name="MSIP_Label_62916346-cfdf-4394-a9ee-6d3664b9c762_Method">
    <vt:lpwstr>Standard</vt:lpwstr>
  </property>
  <property fmtid="{D5CDD505-2E9C-101B-9397-08002B2CF9AE}" pid="5" name="MSIP_Label_62916346-cfdf-4394-a9ee-6d3664b9c762_Name">
    <vt:lpwstr>Internal</vt:lpwstr>
  </property>
  <property fmtid="{D5CDD505-2E9C-101B-9397-08002B2CF9AE}" pid="6" name="MSIP_Label_62916346-cfdf-4394-a9ee-6d3664b9c762_SiteId">
    <vt:lpwstr>bc3dbf22-18e0-4f00-b10d-9595a47abf83</vt:lpwstr>
  </property>
  <property fmtid="{D5CDD505-2E9C-101B-9397-08002B2CF9AE}" pid="7" name="MSIP_Label_62916346-cfdf-4394-a9ee-6d3664b9c762_ActionId">
    <vt:lpwstr>f712f035-7ae0-4c95-9838-8cc33f7c99c5</vt:lpwstr>
  </property>
  <property fmtid="{D5CDD505-2E9C-101B-9397-08002B2CF9AE}" pid="8" name="MSIP_Label_62916346-cfdf-4394-a9ee-6d3664b9c762_ContentBits">
    <vt:lpwstr>0</vt:lpwstr>
  </property>
  <property fmtid="{D5CDD505-2E9C-101B-9397-08002B2CF9AE}" pid="9" name="MSIP_Label_62916346-cfdf-4394-a9ee-6d3664b9c762_Tag">
    <vt:lpwstr>10, 3, 0, 1</vt:lpwstr>
  </property>
</Properties>
</file>